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418e36bf1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_요약" sheetId="1" r:id="R5949f83765734775"/>
    <x:sheet xmlns:r="http://schemas.openxmlformats.org/officeDocument/2006/relationships" name="API_목록" sheetId="2" r:id="Rc968b226db624f97"/>
    <x:sheet xmlns:r="http://schemas.openxmlformats.org/officeDocument/2006/relationships" name="API_상세" sheetId="3" r:id="Rabaea9bb33174df9"/>
    <x:sheet xmlns:r="http://schemas.openxmlformats.org/officeDocument/2006/relationships" name="요청응답_필드" sheetId="4" r:id="R372d78fd075c45f9"/>
    <x:sheet xmlns:r="http://schemas.openxmlformats.org/officeDocument/2006/relationships" name="예시_JSON" sheetId="5" r:id="R3c4738cb26a24c79"/>
    <x:sheet xmlns:r="http://schemas.openxmlformats.org/officeDocument/2006/relationships" name="오류코드" sheetId="6" r:id="R592a2d18d38f4c99"/>
    <x:sheet xmlns:r="http://schemas.openxmlformats.org/officeDocument/2006/relationships" name="공통코드" sheetId="7" r:id="R6d12715e65da41d7"/>
    <x:sheet xmlns:r="http://schemas.openxmlformats.org/officeDocument/2006/relationships" name="처리흐름" sheetId="8" r:id="Rcd8d6348748d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0F2A5F"/>
      <x:name val="Carlito"/>
    </x:font>
    <x:font>
      <x:sz val="9"/>
      <x:color rgb="FF111827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0F2A5F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2" borderId="13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center" vertical="center" wrapText="1"/>
    </x:xf>
    <x:xf numFmtId="0" fontId="2" fillId="4" borderId="13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5" borderId="15" xfId="0" applyNumberFormat="1" applyFont="1" applyFill="1" applyBorder="1" applyAlignment="1">
      <x:alignment horizontal="center" vertical="center"/>
    </x:xf>
    <x:xf numFmtId="0" fontId="3" fillId="3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DE9FE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CE7F3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94d1bc54c4d8c" /><Relationship Type="http://schemas.openxmlformats.org/officeDocument/2006/relationships/theme" Target="/xl/theme/theme1.xml" Id="R7b722e7e6da54941" /><Relationship Type="http://schemas.microsoft.com/office/2022/11/relationships/FeaturePropertyBag" Target="/xl/featurePropertyBag/featurePropertyBag.xml" Id="R3c3ef0beac5341fe" /><Relationship Type="http://schemas.openxmlformats.org/officeDocument/2006/relationships/sharedStrings" Target="/xl/sharedStrings.xml" Id="R21ec07c305ab4a3b" /><Relationship Type="http://schemas.openxmlformats.org/officeDocument/2006/relationships/worksheet" Target="/xl/worksheets/sheet1.xml" Id="R5949f83765734775" /><Relationship Type="http://schemas.openxmlformats.org/officeDocument/2006/relationships/worksheet" Target="/xl/worksheets/sheet2.xml" Id="Rc968b226db624f97" /><Relationship Type="http://schemas.openxmlformats.org/officeDocument/2006/relationships/worksheet" Target="/xl/worksheets/sheet3.xml" Id="Rabaea9bb33174df9" /><Relationship Type="http://schemas.openxmlformats.org/officeDocument/2006/relationships/worksheet" Target="/xl/worksheets/sheet4.xml" Id="R372d78fd075c45f9" /><Relationship Type="http://schemas.openxmlformats.org/officeDocument/2006/relationships/worksheet" Target="/xl/worksheets/sheet5.xml" Id="R3c4738cb26a24c79" /><Relationship Type="http://schemas.openxmlformats.org/officeDocument/2006/relationships/worksheet" Target="/xl/worksheets/sheet6.xml" Id="R592a2d18d38f4c99" /><Relationship Type="http://schemas.openxmlformats.org/officeDocument/2006/relationships/worksheet" Target="/xl/worksheets/sheet7.xml" Id="R6d12715e65da41d7" /><Relationship Type="http://schemas.openxmlformats.org/officeDocument/2006/relationships/worksheet" Target="/xl/worksheets/sheet8.xml" Id="Rcd8d6348748d4d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piListTable" displayName="ApiListTable" ref="A1:Q14" headerRowCount="1">
  <x:tableColumns count="17">
    <x:tableColumn id="1" name="API ID"/>
    <x:tableColumn id="2" name="업무 영역"/>
    <x:tableColumn id="3" name="API명"/>
    <x:tableColumn id="4" name="Method"/>
    <x:tableColumn id="5" name="Endpoint"/>
    <x:tableColumn id="6" name="접근 권한"/>
    <x:tableColumn id="7" name="호출 주체"/>
    <x:tableColumn id="8" name="처리 서버"/>
    <x:tableColumn id="9" name="호출 화면"/>
    <x:tableColumn id="10" name="요약"/>
    <x:tableColumn id="11" name="요청 Schema"/>
    <x:tableColumn id="12" name="응답 Schema"/>
    <x:tableColumn id="13" name="성공"/>
    <x:tableColumn id="14" name="오류"/>
    <x:tableColumn id="15" name="트랜잭션"/>
    <x:tableColumn id="16" name="멱등성"/>
    <x:tableColumn id="17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ApiDetailTable" displayName="ApiDetailTable" ref="A1:R14" headerRowCount="1">
  <x:tableColumns count="18">
    <x:tableColumn id="1" name="API ID"/>
    <x:tableColumn id="2" name="API명"/>
    <x:tableColumn id="3" name="설명"/>
    <x:tableColumn id="4" name="Method"/>
    <x:tableColumn id="5" name="Endpoint"/>
    <x:tableColumn id="6" name="접근 권한"/>
    <x:tableColumn id="7" name="Request Content-Type"/>
    <x:tableColumn id="8" name="Response Content-Type"/>
    <x:tableColumn id="9" name="Path Parameter"/>
    <x:tableColumn id="10" name="Query Parameter"/>
    <x:tableColumn id="11" name="Request Body"/>
    <x:tableColumn id="12" name="Success Response"/>
    <x:tableColumn id="13" name="HTTP Status"/>
    <x:tableColumn id="14" name="주요 처리 로직"/>
    <x:tableColumn id="15" name="DB 처리"/>
    <x:tableColumn id="16" name="외부·내부 연동"/>
    <x:tableColumn id="17" name="보안·검증"/>
    <x:tableColumn id="18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FieldSpecTable" displayName="FieldSpecTable" ref="A1:I97" headerRowCount="1">
  <x:tableColumns count="9">
    <x:tableColumn id="1" name="Schema"/>
    <x:tableColumn id="2" name="구분"/>
    <x:tableColumn id="3" name="필드명"/>
    <x:tableColumn id="4" name="JSON Path"/>
    <x:tableColumn id="5" name="데이터 타입"/>
    <x:tableColumn id="6" name="필수"/>
    <x:tableColumn id="7" name="제약 조건"/>
    <x:tableColumn id="8" name="예시값"/>
    <x:tableColumn id="9" name="설명"/>
  </x:tableColumns>
  <x:tableStyleInfo name="TableStyleMedium2" showRowStripes="1"/>
</x:table>
</file>

<file path=xl/tables/table4.xml><?xml version="1.0" encoding="utf-8"?>
<x:table xmlns:x="http://schemas.openxmlformats.org/spreadsheetml/2006/main" id="4" name="JsonExamplesTable" displayName="JsonExamplesTable" ref="A1:D8" headerRowCount="1">
  <x:tableColumns count="4">
    <x:tableColumn id="1" name="API ID"/>
    <x:tableColumn id="2" name="예시명"/>
    <x:tableColumn id="3" name="구분"/>
    <x:tableColumn id="4" name="JSON"/>
  </x:tableColumns>
  <x:tableStyleInfo name="TableStyleMedium2" showRowStripes="1"/>
</x:table>
</file>

<file path=xl/tables/table5.xml><?xml version="1.0" encoding="utf-8"?>
<x:table xmlns:x="http://schemas.openxmlformats.org/spreadsheetml/2006/main" id="5" name="ErrorCodeTable" displayName="ErrorCodeTable" ref="A1:F15" headerRowCount="1">
  <x:tableColumns count="6">
    <x:tableColumn id="1" name="오류 ID"/>
    <x:tableColumn id="2" name="HTTP Status"/>
    <x:tableColumn id="3" name="오류 코드"/>
    <x:tableColumn id="4" name="사용자 메시지"/>
    <x:tableColumn id="5" name="처리 원칙"/>
    <x:tableColumn id="6" name="적용 영역"/>
  </x:tableColumns>
  <x:tableStyleInfo name="TableStyleMedium2" showRowStripes="1"/>
</x:table>
</file>

<file path=xl/tables/table6.xml><?xml version="1.0" encoding="utf-8"?>
<x:table xmlns:x="http://schemas.openxmlformats.org/spreadsheetml/2006/main" id="6" name="CommonCodeTable" displayName="CommonCodeTable" ref="A1:F28" headerRowCount="1">
  <x:tableColumns count="6">
    <x:tableColumn id="1" name="코드 그룹"/>
    <x:tableColumn id="2" name="코드"/>
    <x:tableColumn id="3" name="표시명"/>
    <x:tableColumn id="4" name="설명"/>
    <x:tableColumn id="5" name="정렬 순서"/>
    <x:tableColumn id="6" name="사용 여부"/>
  </x:tableColumns>
  <x:tableStyleInfo name="TableStyleMedium2" showRowStripes="1"/>
</x:table>
</file>

<file path=xl/tables/table7.xml><?xml version="1.0" encoding="utf-8"?>
<x:table xmlns:x="http://schemas.openxmlformats.org/spreadsheetml/2006/main" id="7" name="ProcessFlowTable" displayName="ProcessFlowTable" ref="A1:H11" headerRowCount="1">
  <x:tableColumns count="8">
    <x:tableColumn id="1" name="순번"/>
    <x:tableColumn id="2" name="업무 단계"/>
    <x:tableColumn id="3" name="호출 주체"/>
    <x:tableColumn id="4" name="호출 API"/>
    <x:tableColumn id="5" name="처리 대상"/>
    <x:tableColumn id="6" name="주요 처리"/>
    <x:tableColumn id="7" name="연동 데이터·서비스"/>
    <x:tableColumn id="8" name="결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64b149c9e1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c0f840c5c448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0b866720ef4f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45938a80e747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919aaf4b2b48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213b00a5704b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3343238bbc4b1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46" hidden="0" customWidth="1"/>
    <x:col min="4" max="4" width="23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2" customHeight="1">
      <x:c r="A1" s="52" t="str">
        <x:v>Living Abroad API 명세서</x:v>
      </x:c>
      <x:c r="B1" s="53"/>
      <x:c r="C1" s="53"/>
      <x:c r="D1" s="53"/>
      <x:c r="E1" s="53"/>
      <x:c r="F1" s="53"/>
      <x:c r="G1" s="53"/>
      <x:c r="H1" s="54"/>
    </x:row>
    <x:row r="2" ht="32" customHeight="1">
      <x:c r="A2" s="55"/>
      <x:c r="B2" s="5"/>
      <x:c r="C2" s="5"/>
      <x:c r="D2" s="5"/>
      <x:c r="E2" s="5"/>
      <x:c r="F2" s="5"/>
      <x:c r="G2" s="5"/>
      <x:c r="H2" s="56"/>
    </x:row>
    <x:row r="3">
      <x:c r="A3" s="57"/>
      <x:c r="B3" s="58"/>
      <x:c r="C3" s="58"/>
      <x:c r="D3" s="58"/>
      <x:c r="E3" s="58"/>
      <x:c r="F3" s="58"/>
      <x:c r="G3" s="58"/>
      <x:c r="H3" s="59"/>
    </x:row>
    <x:row r="4">
      <x:c r="A4" s="60" t="str">
        <x:v>항목</x:v>
      </x:c>
      <x:c r="B4" s="13" t="str">
        <x:v>내용</x:v>
      </x:c>
      <x:c r="C4" s="58"/>
      <x:c r="D4" s="35" t="str">
        <x:v>API 구성 요약</x:v>
      </x:c>
      <x:c r="E4" s="35"/>
      <x:c r="F4" s="35"/>
      <x:c r="G4" s="35"/>
      <x:c r="H4" s="61"/>
    </x:row>
    <x:row r="5">
      <x:c r="A5" s="62" t="str">
        <x:v>프로젝트명</x:v>
      </x:c>
      <x:c r="B5" s="29" t="str">
        <x:v>Living Abroad</x:v>
      </x:c>
      <x:c r="C5" s="58"/>
      <x:c r="D5" s="13" t="str">
        <x:v>구분</x:v>
      </x:c>
      <x:c r="E5" s="13" t="str">
        <x:v>값</x:v>
      </x:c>
      <x:c r="F5" s="58"/>
      <x:c r="G5" s="58"/>
      <x:c r="H5" s="59"/>
    </x:row>
    <x:row r="6">
      <x:c r="A6" s="62" t="str">
        <x:v>문서명</x:v>
      </x:c>
      <x:c r="B6" s="29" t="str">
        <x:v>API 명세서</x:v>
      </x:c>
      <x:c r="C6" s="58"/>
      <x:c r="D6" s="22" t="str">
        <x:v>전체 API 수</x:v>
      </x:c>
      <x:c r="E6" s="41" t="n">
        <x:f>COUNTA('API_목록'!A2:A100)</x:f>
        <x:v>13</x:v>
      </x:c>
      <x:c r="F6" s="58"/>
      <x:c r="G6" s="58"/>
      <x:c r="H6" s="59"/>
    </x:row>
    <x:row r="7">
      <x:c r="A7" s="62" t="str">
        <x:v>API 유형</x:v>
      </x:c>
      <x:c r="B7" s="29" t="str">
        <x:v>REST API / JSON</x:v>
      </x:c>
      <x:c r="C7" s="58"/>
      <x:c r="D7" s="22" t="str">
        <x:v>공개 API 수</x:v>
      </x:c>
      <x:c r="E7" s="41" t="n">
        <x:f>COUNTIF('API_목록'!F2:F100,"공개")</x:f>
        <x:v>3</x:v>
      </x:c>
      <x:c r="F7" s="58"/>
      <x:c r="G7" s="58"/>
      <x:c r="H7" s="59"/>
    </x:row>
    <x:row r="8">
      <x:c r="A8" s="62" t="str">
        <x:v>외부 API 서버</x:v>
      </x:c>
      <x:c r="B8" s="29" t="str">
        <x:v>Spring Boot</x:v>
      </x:c>
      <x:c r="C8" s="58"/>
      <x:c r="D8" s="22" t="str">
        <x:v>로그인 필요 API 수</x:v>
      </x:c>
      <x:c r="E8" s="41" t="n">
        <x:f>COUNTIF('API_목록'!F2:F100,"로그인 필요")</x:f>
        <x:v>7</x:v>
      </x:c>
      <x:c r="F8" s="58"/>
      <x:c r="G8" s="58"/>
      <x:c r="H8" s="59"/>
    </x:row>
    <x:row r="9">
      <x:c r="A9" s="62" t="str">
        <x:v>내부 AI 서버</x:v>
      </x:c>
      <x:c r="B9" s="29" t="str">
        <x:v>FastAPI</x:v>
      </x:c>
      <x:c r="C9" s="58"/>
      <x:c r="D9" s="22" t="str">
        <x:v>내부 전용 API 수</x:v>
      </x:c>
      <x:c r="E9" s="41" t="n">
        <x:f>COUNTIF('API_목록'!F2:F100,"내부 전용")</x:f>
        <x:v>3</x:v>
      </x:c>
      <x:c r="F9" s="58"/>
      <x:c r="G9" s="58"/>
      <x:c r="H9" s="59"/>
    </x:row>
    <x:row r="10">
      <x:c r="A10" s="62" t="str">
        <x:v>작성 기준일</x:v>
      </x:c>
      <x:c r="B10" s="29" t="str">
        <x:v>2026-07-17</x:v>
      </x:c>
      <x:c r="C10" s="58"/>
      <x:c r="D10" s="22" t="str">
        <x:v>요청·응답 필드 수</x:v>
      </x:c>
      <x:c r="E10" s="41" t="n">
        <x:f>COUNTA('요청응답_필드'!A2:A500)</x:f>
        <x:v>96</x:v>
      </x:c>
      <x:c r="F10" s="58"/>
      <x:c r="G10" s="58"/>
      <x:c r="H10" s="59"/>
    </x:row>
    <x:row r="11">
      <x:c r="A11" s="57"/>
      <x:c r="B11" s="58"/>
      <x:c r="C11" s="58"/>
      <x:c r="D11" s="22" t="str">
        <x:v>오류 코드 수</x:v>
      </x:c>
      <x:c r="E11" s="41" t="n">
        <x:f>COUNTA('오류코드'!A2:A100)</x:f>
        <x:v>14</x:v>
      </x:c>
      <x:c r="F11" s="58"/>
      <x:c r="G11" s="58"/>
      <x:c r="H11" s="59"/>
    </x:row>
    <x:row r="12">
      <x:c r="A12" s="57"/>
      <x:c r="B12" s="58"/>
      <x:c r="C12" s="58"/>
      <x:c r="D12" s="58"/>
      <x:c r="E12" s="58"/>
      <x:c r="F12" s="58"/>
      <x:c r="G12" s="58"/>
      <x:c r="H12" s="59"/>
    </x:row>
    <x:row r="13">
      <x:c r="A13" s="63" t="str">
        <x:v>공통 API 규칙</x:v>
      </x:c>
      <x:c r="B13" s="35"/>
      <x:c r="C13" s="35"/>
      <x:c r="D13" s="35"/>
      <x:c r="E13" s="35"/>
      <x:c r="F13" s="35"/>
      <x:c r="G13" s="35"/>
      <x:c r="H13" s="61"/>
    </x:row>
    <x:row r="14">
      <x:c r="A14" s="64" t="str">
        <x:v>1</x:v>
      </x:c>
      <x:c r="B14" s="22" t="str">
        <x:v>외부 API Base URL</x:v>
      </x:c>
      <x:c r="C14" s="29" t="str">
        <x:v>https://{domain}/api</x:v>
      </x:c>
      <x:c r="D14" s="58"/>
      <x:c r="E14" s="58"/>
      <x:c r="F14" s="58"/>
      <x:c r="G14" s="58"/>
      <x:c r="H14" s="59"/>
    </x:row>
    <x:row r="15">
      <x:c r="A15" s="64" t="str">
        <x:v>2</x:v>
      </x:c>
      <x:c r="B15" s="22" t="str">
        <x:v>내부 AI API Base URL</x:v>
      </x:c>
      <x:c r="C15" s="29" t="str">
        <x:v>http://ai-server:8000/ai</x:v>
      </x:c>
      <x:c r="D15" s="58"/>
      <x:c r="E15" s="58"/>
      <x:c r="F15" s="58"/>
      <x:c r="G15" s="58"/>
      <x:c r="H15" s="59"/>
    </x:row>
    <x:row r="16">
      <x:c r="A16" s="64" t="str">
        <x:v>3</x:v>
      </x:c>
      <x:c r="B16" s="22" t="str">
        <x:v>인증 헤더</x:v>
      </x:c>
      <x:c r="C16" s="29" t="str">
        <x:v>Authorization: Bearer {accessToken}</x:v>
      </x:c>
      <x:c r="D16" s="58"/>
      <x:c r="E16" s="58"/>
      <x:c r="F16" s="58"/>
      <x:c r="G16" s="58"/>
      <x:c r="H16" s="59"/>
    </x:row>
    <x:row r="17">
      <x:c r="A17" s="64" t="str">
        <x:v>4</x:v>
      </x:c>
      <x:c r="B17" s="22" t="str">
        <x:v>Content-Type</x:v>
      </x:c>
      <x:c r="C17" s="29" t="str">
        <x:v>application/json; charset=UTF-8</x:v>
      </x:c>
      <x:c r="D17" s="58"/>
      <x:c r="E17" s="58"/>
      <x:c r="F17" s="58"/>
      <x:c r="G17" s="58"/>
      <x:c r="H17" s="59"/>
    </x:row>
    <x:row r="18">
      <x:c r="A18" s="64" t="str">
        <x:v>5</x:v>
      </x:c>
      <x:c r="B18" s="22" t="str">
        <x:v>날짜·시간 형식</x:v>
      </x:c>
      <x:c r="C18" s="29" t="str">
        <x:v>ISO-8601, Asia/Seoul 기준</x:v>
      </x:c>
      <x:c r="D18" s="58"/>
      <x:c r="E18" s="58"/>
      <x:c r="F18" s="58"/>
      <x:c r="G18" s="58"/>
      <x:c r="H18" s="59"/>
    </x:row>
    <x:row r="19">
      <x:c r="A19" s="64" t="str">
        <x:v>6</x:v>
      </x:c>
      <x:c r="B19" s="22" t="str">
        <x:v>페이지 기본값</x:v>
      </x:c>
      <x:c r="C19" s="29" t="str">
        <x:v>page=0, size=10, sort=analyzedAt,DESC</x:v>
      </x:c>
      <x:c r="D19" s="58"/>
      <x:c r="E19" s="58"/>
      <x:c r="F19" s="58"/>
      <x:c r="G19" s="58"/>
      <x:c r="H19" s="59"/>
    </x:row>
    <x:row r="20">
      <x:c r="A20" s="64" t="str">
        <x:v>7</x:v>
      </x:c>
      <x:c r="B20" s="22" t="str">
        <x:v>응답 원칙</x:v>
      </x:c>
      <x:c r="C20" s="29" t="str">
        <x:v>비자 적합도는 실제 승인 확률로 표현하지 않는다.</x:v>
      </x:c>
      <x:c r="D20" s="58"/>
      <x:c r="E20" s="58"/>
      <x:c r="F20" s="58"/>
      <x:c r="G20" s="58"/>
      <x:c r="H20" s="59"/>
    </x:row>
    <x:row r="21">
      <x:c r="A21" s="65" t="str">
        <x:v>8</x:v>
      </x:c>
      <x:c r="B21" s="66" t="str">
        <x:v>RAG 답변 원칙</x:v>
      </x:c>
      <x:c r="C21" s="67" t="str">
        <x:v>공식 출처 URL과 verifiedAt을 함께 반환한다.</x:v>
      </x:c>
      <x:c r="D21" s="68"/>
      <x:c r="E21" s="68"/>
      <x:c r="F21" s="68"/>
      <x:c r="G21" s="68"/>
      <x:c r="H21" s="69"/>
    </x:row>
  </x:sheetData>
  <x:mergeCells>
    <x:mergeCell ref="A1:H2"/>
    <x:mergeCell ref="D4:H4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4" hidden="0" customWidth="1"/>
    <x:col min="4" max="4" width="10" hidden="0" customWidth="1"/>
    <x:col min="5" max="5" width="32" hidden="0" customWidth="1"/>
    <x:col min="6" max="6" width="15" hidden="0" customWidth="1"/>
    <x:col min="7" max="7" width="16" hidden="0" customWidth="1"/>
    <x:col min="8" max="8" width="16" hidden="0" customWidth="1"/>
    <x:col min="9" max="9" width="20" hidden="0" customWidth="1"/>
    <x:col min="10" max="10" width="42" hidden="0" customWidth="1"/>
    <x:col min="11" max="11" width="24" hidden="0" customWidth="1"/>
    <x:col min="12" max="12" width="24" hidden="0" customWidth="1"/>
    <x:col min="13" max="13" width="12" hidden="0" customWidth="1"/>
    <x:col min="14" max="14" width="12" hidden="0" customWidth="1"/>
    <x:col min="15" max="15" width="11" hidden="0" customWidth="1"/>
    <x:col min="16" max="16" width="11" hidden="0" customWidth="1"/>
    <x:col min="17" max="17" width="38" hidden="0" customWidth="1"/>
  </x:cols>
  <x:sheetData>
    <x:row r="1" ht="42" customHeight="1">
      <x:c r="A1" s="87" t="str">
        <x:v>API ID</x:v>
      </x:c>
      <x:c r="B1" s="88" t="str">
        <x:v>업무 영역</x:v>
      </x:c>
      <x:c r="C1" s="88" t="str">
        <x:v>API명</x:v>
      </x:c>
      <x:c r="D1" s="88" t="str">
        <x:v>Method</x:v>
      </x:c>
      <x:c r="E1" s="88" t="str">
        <x:v>Endpoint</x:v>
      </x:c>
      <x:c r="F1" s="88" t="str">
        <x:v>접근 권한</x:v>
      </x:c>
      <x:c r="G1" s="88" t="str">
        <x:v>호출 주체</x:v>
      </x:c>
      <x:c r="H1" s="88" t="str">
        <x:v>처리 서버</x:v>
      </x:c>
      <x:c r="I1" s="88" t="str">
        <x:v>호출 화면</x:v>
      </x:c>
      <x:c r="J1" s="88" t="str">
        <x:v>요약</x:v>
      </x:c>
      <x:c r="K1" s="88" t="str">
        <x:v>요청 Schema</x:v>
      </x:c>
      <x:c r="L1" s="88" t="str">
        <x:v>응답 Schema</x:v>
      </x:c>
      <x:c r="M1" s="88" t="str">
        <x:v>성공</x:v>
      </x:c>
      <x:c r="N1" s="88" t="str">
        <x:v>오류</x:v>
      </x:c>
      <x:c r="O1" s="88" t="str">
        <x:v>트랜잭션</x:v>
      </x:c>
      <x:c r="P1" s="88" t="str">
        <x:v>멱등성</x:v>
      </x:c>
      <x:c r="Q1" s="89" t="str">
        <x:v>비고</x:v>
      </x:c>
    </x:row>
    <x:row r="2" ht="42" customHeight="1">
      <x:c r="A2" s="90" t="str">
        <x:v>AUTH-001</x:v>
      </x:c>
      <x:c r="B2" s="41" t="str">
        <x:v>인증</x:v>
      </x:c>
      <x:c r="C2" s="41" t="str">
        <x:v>회원가입</x:v>
      </x:c>
      <x:c r="D2" s="41" t="str">
        <x:v>POST</x:v>
      </x:c>
      <x:c r="E2" s="41" t="str">
        <x:v>/api/auth/signup</x:v>
      </x:c>
      <x:c r="F2" s="41" t="str">
        <x:v>공개</x:v>
      </x:c>
      <x:c r="G2" s="41" t="str">
        <x:v>Vue</x:v>
      </x:c>
      <x:c r="H2" s="41" t="str">
        <x:v>Spring Boot</x:v>
      </x:c>
      <x:c r="I2" s="41" t="str">
        <x:v>AUTH-001</x:v>
      </x:c>
      <x:c r="J2" s="29" t="str">
        <x:v>신규 사용자 계정을 생성하고 JWT를 발급한다.</x:v>
      </x:c>
      <x:c r="K2" s="29" t="str">
        <x:v>SignupRequest</x:v>
      </x:c>
      <x:c r="L2" s="29" t="str">
        <x:v>AuthResponse</x:v>
      </x:c>
      <x:c r="M2" s="41" t="str">
        <x:v>201</x:v>
      </x:c>
      <x:c r="N2" s="41" t="str">
        <x:v>400, 409, 500</x:v>
      </x:c>
      <x:c r="O2" s="41" t="str">
        <x:v>Y</x:v>
      </x:c>
      <x:c r="P2" s="41" t="str">
        <x:v>N</x:v>
      </x:c>
      <x:c r="Q2" s="91" t="str">
        <x:v>이메일 중복 검증, BCrypt 비밀번호 암호화</x:v>
      </x:c>
    </x:row>
    <x:row r="3" ht="42" customHeight="1">
      <x:c r="A3" s="90" t="str">
        <x:v>AUTH-002</x:v>
      </x:c>
      <x:c r="B3" s="41" t="str">
        <x:v>인증</x:v>
      </x:c>
      <x:c r="C3" s="41" t="str">
        <x:v>로그인</x:v>
      </x:c>
      <x:c r="D3" s="41" t="str">
        <x:v>POST</x:v>
      </x:c>
      <x:c r="E3" s="41" t="str">
        <x:v>/api/auth/login</x:v>
      </x:c>
      <x:c r="F3" s="41" t="str">
        <x:v>공개</x:v>
      </x:c>
      <x:c r="G3" s="41" t="str">
        <x:v>Vue</x:v>
      </x:c>
      <x:c r="H3" s="41" t="str">
        <x:v>Spring Boot</x:v>
      </x:c>
      <x:c r="I3" s="41" t="str">
        <x:v>AUTH-001</x:v>
      </x:c>
      <x:c r="J3" s="29" t="str">
        <x:v>이메일과 비밀번호를 검증하고 JWT를 발급한다.</x:v>
      </x:c>
      <x:c r="K3" s="29" t="str">
        <x:v>LoginRequest</x:v>
      </x:c>
      <x:c r="L3" s="29" t="str">
        <x:v>AuthResponse</x:v>
      </x:c>
      <x:c r="M3" s="41" t="str">
        <x:v>200</x:v>
      </x:c>
      <x:c r="N3" s="41" t="str">
        <x:v>400, 401, 500</x:v>
      </x:c>
      <x:c r="O3" s="41" t="str">
        <x:v>N</x:v>
      </x:c>
      <x:c r="P3" s="41" t="str">
        <x:v>N</x:v>
      </x:c>
      <x:c r="Q3" s="91" t="str">
        <x:v>실패 사유는 계정 존재 여부를 노출하지 않도록 통합 메시지 사용</x:v>
      </x:c>
    </x:row>
    <x:row r="4" ht="42" customHeight="1">
      <x:c r="A4" s="90" t="str">
        <x:v>USER-001</x:v>
      </x:c>
      <x:c r="B4" s="41" t="str">
        <x:v>사용자</x:v>
      </x:c>
      <x:c r="C4" s="41" t="str">
        <x:v>내 프로필 조회</x:v>
      </x:c>
      <x:c r="D4" s="41" t="str">
        <x:v>GET</x:v>
      </x:c>
      <x:c r="E4" s="41" t="str">
        <x:v>/api/users/me/profile</x:v>
      </x:c>
      <x:c r="F4" s="41" t="str">
        <x:v>로그인 필요</x:v>
      </x:c>
      <x:c r="G4" s="41" t="str">
        <x:v>Vue</x:v>
      </x:c>
      <x:c r="H4" s="41" t="str">
        <x:v>Spring Boot</x:v>
      </x:c>
      <x:c r="I4" s="41" t="str">
        <x:v>ANA-001, MY-001</x:v>
      </x:c>
      <x:c r="J4" s="29" t="str">
        <x:v>현재 로그인 사용자의 분석용 프로필을 조회한다.</x:v>
      </x:c>
      <x:c r="K4" s="29" t="str">
        <x:v>-</x:v>
      </x:c>
      <x:c r="L4" s="29" t="str">
        <x:v>UserProfileResponse</x:v>
      </x:c>
      <x:c r="M4" s="41" t="str">
        <x:v>200</x:v>
      </x:c>
      <x:c r="N4" s="41" t="str">
        <x:v>401, 404, 500</x:v>
      </x:c>
      <x:c r="O4" s="41" t="str">
        <x:v>N</x:v>
      </x:c>
      <x:c r="P4" s="41" t="str">
        <x:v>Y</x:v>
      </x:c>
      <x:c r="Q4" s="91" t="str">
        <x:v>JWT subject의 userId 기준 조회</x:v>
      </x:c>
    </x:row>
    <x:row r="5" ht="42" customHeight="1">
      <x:c r="A5" s="90" t="str">
        <x:v>USER-002</x:v>
      </x:c>
      <x:c r="B5" s="41" t="str">
        <x:v>사용자</x:v>
      </x:c>
      <x:c r="C5" s="41" t="str">
        <x:v>내 프로필 저장·수정</x:v>
      </x:c>
      <x:c r="D5" s="41" t="str">
        <x:v>PUT</x:v>
      </x:c>
      <x:c r="E5" s="41" t="str">
        <x:v>/api/users/me/profile</x:v>
      </x:c>
      <x:c r="F5" s="41" t="str">
        <x:v>로그인 필요</x:v>
      </x:c>
      <x:c r="G5" s="41" t="str">
        <x:v>Vue</x:v>
      </x:c>
      <x:c r="H5" s="41" t="str">
        <x:v>Spring Boot</x:v>
      </x:c>
      <x:c r="I5" s="41" t="str">
        <x:v>ANA-001, MY-001</x:v>
      </x:c>
      <x:c r="J5" s="29" t="str">
        <x:v>현재 로그인 사용자의 프로필을 신규 저장하거나 수정한다.</x:v>
      </x:c>
      <x:c r="K5" s="29" t="str">
        <x:v>UserProfileRequest</x:v>
      </x:c>
      <x:c r="L5" s="29" t="str">
        <x:v>UserProfileResponse</x:v>
      </x:c>
      <x:c r="M5" s="41" t="str">
        <x:v>200</x:v>
      </x:c>
      <x:c r="N5" s="41" t="str">
        <x:v>400, 401, 500</x:v>
      </x:c>
      <x:c r="O5" s="41" t="str">
        <x:v>Y</x:v>
      </x:c>
      <x:c r="P5" s="41" t="str">
        <x:v>Y</x:v>
      </x:c>
      <x:c r="Q5" s="91" t="str">
        <x:v>없으면 INSERT, 있으면 UPDATE</x:v>
      </x:c>
    </x:row>
    <x:row r="6" ht="42" customHeight="1">
      <x:c r="A6" s="90" t="str">
        <x:v>ANALYSIS-001</x:v>
      </x:c>
      <x:c r="B6" s="41" t="str">
        <x:v>AI 분석</x:v>
      </x:c>
      <x:c r="C6" s="41" t="str">
        <x:v>분석 요청 생성</x:v>
      </x:c>
      <x:c r="D6" s="41" t="str">
        <x:v>POST</x:v>
      </x:c>
      <x:c r="E6" s="41" t="str">
        <x:v>/api/analyses</x:v>
      </x:c>
      <x:c r="F6" s="41" t="str">
        <x:v>로그인 필요</x:v>
      </x:c>
      <x:c r="G6" s="41" t="str">
        <x:v>Vue</x:v>
      </x:c>
      <x:c r="H6" s="41" t="str">
        <x:v>Spring Boot</x:v>
      </x:c>
      <x:c r="I6" s="41" t="str">
        <x:v>ANA-002</x:v>
      </x:c>
      <x:c r="J6" s="29" t="str">
        <x:v>사용자 입력을 저장하고 FastAPI에 국가·비자 추천 분석을 요청한다.</x:v>
      </x:c>
      <x:c r="K6" s="29" t="str">
        <x:v>AnalysisCreateRequest</x:v>
      </x:c>
      <x:c r="L6" s="29" t="str">
        <x:v>AnalysisCreateResponse</x:v>
      </x:c>
      <x:c r="M6" s="41" t="str">
        <x:v>202</x:v>
      </x:c>
      <x:c r="N6" s="41" t="str">
        <x:v>400, 401, 422, 500, 503</x:v>
      </x:c>
      <x:c r="O6" s="41" t="str">
        <x:v>Y</x:v>
      </x:c>
      <x:c r="P6" s="41" t="str">
        <x:v>N</x:v>
      </x:c>
      <x:c r="Q6" s="91" t="str">
        <x:v>분석 상태를 PENDING으로 생성 후 FastAPI 호출</x:v>
      </x:c>
    </x:row>
    <x:row r="7" ht="42" customHeight="1">
      <x:c r="A7" s="90" t="str">
        <x:v>ANALYSIS-002</x:v>
      </x:c>
      <x:c r="B7" s="41" t="str">
        <x:v>AI 분석</x:v>
      </x:c>
      <x:c r="C7" s="41" t="str">
        <x:v>분석 결과 상세 조회</x:v>
      </x:c>
      <x:c r="D7" s="41" t="str">
        <x:v>GET</x:v>
      </x:c>
      <x:c r="E7" s="41" t="str">
        <x:v>/api/analyses/{analysisId}</x:v>
      </x:c>
      <x:c r="F7" s="41" t="str">
        <x:v>로그인 필요</x:v>
      </x:c>
      <x:c r="G7" s="41" t="str">
        <x:v>Vue</x:v>
      </x:c>
      <x:c r="H7" s="41" t="str">
        <x:v>Spring Boot</x:v>
      </x:c>
      <x:c r="I7" s="41" t="str">
        <x:v>ANA-003, RES-001</x:v>
      </x:c>
      <x:c r="J7" s="29" t="str">
        <x:v>분석 진행 상태 또는 완료된 국가별 추천 결과를 조회한다.</x:v>
      </x:c>
      <x:c r="K7" s="29" t="str">
        <x:v>Path: analysisId</x:v>
      </x:c>
      <x:c r="L7" s="29" t="str">
        <x:v>AnalysisDetailResponse</x:v>
      </x:c>
      <x:c r="M7" s="41" t="str">
        <x:v>200</x:v>
      </x:c>
      <x:c r="N7" s="41" t="str">
        <x:v>400, 401, 403, 404, 500</x:v>
      </x:c>
      <x:c r="O7" s="41" t="str">
        <x:v>N</x:v>
      </x:c>
      <x:c r="P7" s="41" t="str">
        <x:v>Y</x:v>
      </x:c>
      <x:c r="Q7" s="91" t="str">
        <x:v>분석 소유권 검증 필수</x:v>
      </x:c>
    </x:row>
    <x:row r="8" ht="42" customHeight="1">
      <x:c r="A8" s="90" t="str">
        <x:v>ANALYSIS-003</x:v>
      </x:c>
      <x:c r="B8" s="41" t="str">
        <x:v>AI 분석</x:v>
      </x:c>
      <x:c r="C8" s="41" t="str">
        <x:v>내 분석 이력 조회</x:v>
      </x:c>
      <x:c r="D8" s="41" t="str">
        <x:v>GET</x:v>
      </x:c>
      <x:c r="E8" s="41" t="str">
        <x:v>/api/analyses</x:v>
      </x:c>
      <x:c r="F8" s="41" t="str">
        <x:v>로그인 필요</x:v>
      </x:c>
      <x:c r="G8" s="41" t="str">
        <x:v>Vue</x:v>
      </x:c>
      <x:c r="H8" s="41" t="str">
        <x:v>Spring Boot</x:v>
      </x:c>
      <x:c r="I8" s="41" t="str">
        <x:v>MY-001</x:v>
      </x:c>
      <x:c r="J8" s="29" t="str">
        <x:v>현재 로그인 사용자의 분석 이력을 페이지 단위로 조회한다.</x:v>
      </x:c>
      <x:c r="K8" s="29" t="str">
        <x:v>Query: page, size, sort</x:v>
      </x:c>
      <x:c r="L8" s="29" t="str">
        <x:v>AnalysisHistoryPageResponse</x:v>
      </x:c>
      <x:c r="M8" s="41" t="str">
        <x:v>200</x:v>
      </x:c>
      <x:c r="N8" s="41" t="str">
        <x:v>400, 401, 500</x:v>
      </x:c>
      <x:c r="O8" s="41" t="str">
        <x:v>N</x:v>
      </x:c>
      <x:c r="P8" s="41" t="str">
        <x:v>Y</x:v>
      </x:c>
      <x:c r="Q8" s="91" t="str">
        <x:v>기본 정렬 analyzedAt,DESC</x:v>
      </x:c>
    </x:row>
    <x:row r="9" ht="42" customHeight="1">
      <x:c r="A9" s="90" t="str">
        <x:v>CHAT-001</x:v>
      </x:c>
      <x:c r="B9" s="41" t="str">
        <x:v>AI 상담</x:v>
      </x:c>
      <x:c r="C9" s="41" t="str">
        <x:v>RAG 상담 질문</x:v>
      </x:c>
      <x:c r="D9" s="41" t="str">
        <x:v>POST</x:v>
      </x:c>
      <x:c r="E9" s="41" t="str">
        <x:v>/api/chat</x:v>
      </x:c>
      <x:c r="F9" s="41" t="str">
        <x:v>로그인 필요</x:v>
      </x:c>
      <x:c r="G9" s="41" t="str">
        <x:v>Vue</x:v>
      </x:c>
      <x:c r="H9" s="41" t="str">
        <x:v>Spring Boot</x:v>
      </x:c>
      <x:c r="I9" s="41" t="str">
        <x:v>CHAT-001</x:v>
      </x:c>
      <x:c r="J9" s="29" t="str">
        <x:v>사용자 질문을 저장하고 공식 정책 문서 기반 RAG 답변을 생성한다.</x:v>
      </x:c>
      <x:c r="K9" s="29" t="str">
        <x:v>ChatQuestionRequest</x:v>
      </x:c>
      <x:c r="L9" s="29" t="str">
        <x:v>ChatAnswerResponse</x:v>
      </x:c>
      <x:c r="M9" s="41" t="str">
        <x:v>200</x:v>
      </x:c>
      <x:c r="N9" s="41" t="str">
        <x:v>400, 401, 404, 422, 500, 503</x:v>
      </x:c>
      <x:c r="O9" s="41" t="str">
        <x:v>Y</x:v>
      </x:c>
      <x:c r="P9" s="41" t="str">
        <x:v>N</x:v>
      </x:c>
      <x:c r="Q9" s="91" t="str">
        <x:v>sessionId가 없으면 신규 상담 세션 생성</x:v>
      </x:c>
    </x:row>
    <x:row r="10" ht="42" customHeight="1">
      <x:c r="A10" s="90" t="str">
        <x:v>CHAT-002</x:v>
      </x:c>
      <x:c r="B10" s="41" t="str">
        <x:v>AI 상담</x:v>
      </x:c>
      <x:c r="C10" s="41" t="str">
        <x:v>상담 이력 조회</x:v>
      </x:c>
      <x:c r="D10" s="41" t="str">
        <x:v>GET</x:v>
      </x:c>
      <x:c r="E10" s="41" t="str">
        <x:v>/api/chat/sessions/{sessionId}</x:v>
      </x:c>
      <x:c r="F10" s="41" t="str">
        <x:v>로그인 필요</x:v>
      </x:c>
      <x:c r="G10" s="41" t="str">
        <x:v>Vue</x:v>
      </x:c>
      <x:c r="H10" s="41" t="str">
        <x:v>Spring Boot</x:v>
      </x:c>
      <x:c r="I10" s="41" t="str">
        <x:v>CHAT-001</x:v>
      </x:c>
      <x:c r="J10" s="29" t="str">
        <x:v>상담 세션의 사용자 질문과 AI 답변 이력을 조회한다.</x:v>
      </x:c>
      <x:c r="K10" s="29" t="str">
        <x:v>Path: sessionId</x:v>
      </x:c>
      <x:c r="L10" s="29" t="str">
        <x:v>ChatSessionResponse</x:v>
      </x:c>
      <x:c r="M10" s="41" t="str">
        <x:v>200</x:v>
      </x:c>
      <x:c r="N10" s="41" t="str">
        <x:v>400, 401, 403, 404, 500</x:v>
      </x:c>
      <x:c r="O10" s="41" t="str">
        <x:v>N</x:v>
      </x:c>
      <x:c r="P10" s="41" t="str">
        <x:v>Y</x:v>
      </x:c>
      <x:c r="Q10" s="91" t="str">
        <x:v>상담 세션 소유권 검증 필수</x:v>
      </x:c>
    </x:row>
    <x:row r="11" ht="42" customHeight="1">
      <x:c r="A11" s="90" t="str">
        <x:v>AI-001</x:v>
      </x:c>
      <x:c r="B11" s="41" t="str">
        <x:v>내부 AI</x:v>
      </x:c>
      <x:c r="C11" s="41" t="str">
        <x:v>국가·비자 추천 분석</x:v>
      </x:c>
      <x:c r="D11" s="41" t="str">
        <x:v>POST</x:v>
      </x:c>
      <x:c r="E11" s="41" t="str">
        <x:v>/ai/recommend</x:v>
      </x:c>
      <x:c r="F11" s="41" t="str">
        <x:v>내부 전용</x:v>
      </x:c>
      <x:c r="G11" s="41" t="str">
        <x:v>Spring Boot</x:v>
      </x:c>
      <x:c r="H11" s="41" t="str">
        <x:v>FastAPI</x:v>
      </x:c>
      <x:c r="I11" s="41" t="str">
        <x:v>-</x:v>
      </x:c>
      <x:c r="J11" s="29" t="str">
        <x:v>비자 규칙, 국가 환경 ML, 경력 매칭, 선호 점수를 종합한다.</x:v>
      </x:c>
      <x:c r="K11" s="29" t="str">
        <x:v>AiRecommendRequest</x:v>
      </x:c>
      <x:c r="L11" s="29" t="str">
        <x:v>AiRecommendResponse</x:v>
      </x:c>
      <x:c r="M11" s="41" t="str">
        <x:v>200</x:v>
      </x:c>
      <x:c r="N11" s="41" t="str">
        <x:v>400, 422, 500</x:v>
      </x:c>
      <x:c r="O11" s="41" t="str">
        <x:v>N</x:v>
      </x:c>
      <x:c r="P11" s="41" t="str">
        <x:v>Y</x:v>
      </x:c>
      <x:c r="Q11" s="91" t="str">
        <x:v>지원 국가는 CAN, AUS, GBR로 고정</x:v>
      </x:c>
    </x:row>
    <x:row r="12" ht="42" customHeight="1">
      <x:c r="A12" s="90" t="str">
        <x:v>AI-002</x:v>
      </x:c>
      <x:c r="B12" s="41" t="str">
        <x:v>내부 AI</x:v>
      </x:c>
      <x:c r="C12" s="41" t="str">
        <x:v>RAG 답변 생성</x:v>
      </x:c>
      <x:c r="D12" s="41" t="str">
        <x:v>POST</x:v>
      </x:c>
      <x:c r="E12" s="41" t="str">
        <x:v>/ai/rag/answer</x:v>
      </x:c>
      <x:c r="F12" s="41" t="str">
        <x:v>내부 전용</x:v>
      </x:c>
      <x:c r="G12" s="41" t="str">
        <x:v>Spring Boot</x:v>
      </x:c>
      <x:c r="H12" s="41" t="str">
        <x:v>FastAPI</x:v>
      </x:c>
      <x:c r="I12" s="41" t="str">
        <x:v>-</x:v>
      </x:c>
      <x:c r="J12" s="29" t="str">
        <x:v>질문과 국가·비자 조건을 기반으로 pgvector 검색 후 LLM 답변을 생성한다.</x:v>
      </x:c>
      <x:c r="K12" s="29" t="str">
        <x:v>AiRagRequest</x:v>
      </x:c>
      <x:c r="L12" s="29" t="str">
        <x:v>AiRagResponse</x:v>
      </x:c>
      <x:c r="M12" s="41" t="str">
        <x:v>200</x:v>
      </x:c>
      <x:c r="N12" s="41" t="str">
        <x:v>400, 404, 422, 500, 503</x:v>
      </x:c>
      <x:c r="O12" s="41" t="str">
        <x:v>N</x:v>
      </x:c>
      <x:c r="P12" s="41" t="str">
        <x:v>N</x:v>
      </x:c>
      <x:c r="Q12" s="91" t="str">
        <x:v>검색 근거가 없으면 answerable=false 반환</x:v>
      </x:c>
    </x:row>
    <x:row r="13" ht="42" customHeight="1">
      <x:c r="A13" s="90" t="str">
        <x:v>SYS-001</x:v>
      </x:c>
      <x:c r="B13" s="41" t="str">
        <x:v>시스템</x:v>
      </x:c>
      <x:c r="C13" s="41" t="str">
        <x:v>Backend 상태 확인</x:v>
      </x:c>
      <x:c r="D13" s="41" t="str">
        <x:v>GET</x:v>
      </x:c>
      <x:c r="E13" s="41" t="str">
        <x:v>/api/health</x:v>
      </x:c>
      <x:c r="F13" s="41" t="str">
        <x:v>공개</x:v>
      </x:c>
      <x:c r="G13" s="41" t="str">
        <x:v>Nginx / 운영</x:v>
      </x:c>
      <x:c r="H13" s="41" t="str">
        <x:v>Spring Boot</x:v>
      </x:c>
      <x:c r="I13" s="41" t="str">
        <x:v>-</x:v>
      </x:c>
      <x:c r="J13" s="29" t="str">
        <x:v>Spring Boot와 DB 연결 상태를 확인한다.</x:v>
      </x:c>
      <x:c r="K13" s="29" t="str">
        <x:v>-</x:v>
      </x:c>
      <x:c r="L13" s="29" t="str">
        <x:v>HealthResponse</x:v>
      </x:c>
      <x:c r="M13" s="41" t="str">
        <x:v>200</x:v>
      </x:c>
      <x:c r="N13" s="41" t="str">
        <x:v>503</x:v>
      </x:c>
      <x:c r="O13" s="41" t="str">
        <x:v>N</x:v>
      </x:c>
      <x:c r="P13" s="41" t="str">
        <x:v>Y</x:v>
      </x:c>
      <x:c r="Q13" s="91" t="str">
        <x:v>민감정보는 응답에 포함하지 않음</x:v>
      </x:c>
    </x:row>
    <x:row r="14" ht="42" customHeight="1">
      <x:c r="A14" s="92" t="str">
        <x:v>SYS-002</x:v>
      </x:c>
      <x:c r="B14" s="93" t="str">
        <x:v>시스템</x:v>
      </x:c>
      <x:c r="C14" s="93" t="str">
        <x:v>AI Server 상태 확인</x:v>
      </x:c>
      <x:c r="D14" s="93" t="str">
        <x:v>GET</x:v>
      </x:c>
      <x:c r="E14" s="93" t="str">
        <x:v>/ai/health</x:v>
      </x:c>
      <x:c r="F14" s="93" t="str">
        <x:v>내부 전용</x:v>
      </x:c>
      <x:c r="G14" s="93" t="str">
        <x:v>Spring Boot / 운영</x:v>
      </x:c>
      <x:c r="H14" s="93" t="str">
        <x:v>FastAPI</x:v>
      </x:c>
      <x:c r="I14" s="93" t="str">
        <x:v>-</x:v>
      </x:c>
      <x:c r="J14" s="67" t="str">
        <x:v>FastAPI, 모델 파일, pgvector 연결 상태를 확인한다.</x:v>
      </x:c>
      <x:c r="K14" s="67" t="str">
        <x:v>-</x:v>
      </x:c>
      <x:c r="L14" s="67" t="str">
        <x:v>HealthResponse</x:v>
      </x:c>
      <x:c r="M14" s="93" t="str">
        <x:v>200</x:v>
      </x:c>
      <x:c r="N14" s="93" t="str">
        <x:v>503</x:v>
      </x:c>
      <x:c r="O14" s="93" t="str">
        <x:v>N</x:v>
      </x:c>
      <x:c r="P14" s="93" t="str">
        <x:v>Y</x:v>
      </x:c>
      <x:c r="Q14" s="94" t="str">
        <x:v>모델 버전과 loaded 여부만 반환</x:v>
      </x:c>
    </x:row>
  </x:sheetData>
  <x:conditionalFormatting sqref="F2:F100">
    <x:cfRule type="expression" dxfId="0" priority="1">
      <x:formula>F2="공개"</x:formula>
    </x:cfRule>
    <x:cfRule type="expression" dxfId="1" priority="2">
      <x:formula>F2="로그인 필요"</x:formula>
    </x:cfRule>
    <x:cfRule type="expression" dxfId="2" priority="3">
      <x:formula>F2="내부 전용"</x:formula>
    </x:cfRule>
  </x:conditionalFormatting>
  <x:conditionalFormatting sqref="D2:D100">
    <x:cfRule type="expression" dxfId="3" priority="4">
      <x:formula>D2="GET"</x:formula>
    </x:cfRule>
    <x:cfRule type="expression" dxfId="4" priority="5">
      <x:formula>D2="POST"</x:formula>
    </x:cfRule>
    <x:cfRule type="expression" dxfId="5" priority="6">
      <x:formula>D2="PUT"</x:formula>
    </x:cfRule>
    <x:cfRule type="expression" dxfId="6" priority="7">
      <x:formula>D2="PATCH"</x:formula>
    </x:cfRule>
    <x:cfRule type="expression" dxfId="7" priority="8">
      <x:formula>D2="DELETE"</x:formula>
    </x:cfRule>
  </x:conditionalFormatting>
  <x:dataValidations count="3">
    <x:dataValidation type="list" sqref="D2:D100">
      <x:formula1>"GET,POST,PUT,PATCH,DELETE"</x:formula1>
    </x:dataValidation>
    <x:dataValidation type="list" sqref="F2:F100">
      <x:formula1>"공개,로그인 필요,내부 전용"</x:formula1>
    </x:dataValidation>
    <x:dataValidation type="list" sqref="O2:P1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64b149c9e147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42" hidden="0" customWidth="1"/>
    <x:col min="4" max="4" width="10" hidden="0" customWidth="1"/>
    <x:col min="5" max="5" width="32" hidden="0" customWidth="1"/>
    <x:col min="6" max="6" width="15" hidden="0" customWidth="1"/>
    <x:col min="7" max="7" width="21" hidden="0" customWidth="1"/>
    <x:col min="8" max="8" width="21" hidden="0" customWidth="1"/>
    <x:col min="9" max="9" width="22" hidden="0" customWidth="1"/>
    <x:col min="10" max="10" width="32" hidden="0" customWidth="1"/>
    <x:col min="11" max="11" width="24" hidden="0" customWidth="1"/>
    <x:col min="12" max="12" width="24" hidden="0" customWidth="1"/>
    <x:col min="13" max="13" width="18" hidden="0" customWidth="1"/>
    <x:col min="14" max="14" width="42" hidden="0" customWidth="1"/>
    <x:col min="15" max="15" width="38" hidden="0" customWidth="1"/>
    <x:col min="16" max="16" width="38" hidden="0" customWidth="1"/>
    <x:col min="17" max="17" width="38" hidden="0" customWidth="1"/>
    <x:col min="18" max="18" width="30" hidden="0" customWidth="1"/>
  </x:cols>
  <x:sheetData>
    <x:row r="1" ht="50" customHeight="1">
      <x:c r="A1" s="87" t="str">
        <x:v>API ID</x:v>
      </x:c>
      <x:c r="B1" s="88" t="str">
        <x:v>API명</x:v>
      </x:c>
      <x:c r="C1" s="88" t="str">
        <x:v>설명</x:v>
      </x:c>
      <x:c r="D1" s="88" t="str">
        <x:v>Method</x:v>
      </x:c>
      <x:c r="E1" s="88" t="str">
        <x:v>Endpoint</x:v>
      </x:c>
      <x:c r="F1" s="88" t="str">
        <x:v>접근 권한</x:v>
      </x:c>
      <x:c r="G1" s="88" t="str">
        <x:v>Request Content-Type</x:v>
      </x:c>
      <x:c r="H1" s="88" t="str">
        <x:v>Response Content-Type</x:v>
      </x:c>
      <x:c r="I1" s="88" t="str">
        <x:v>Path Parameter</x:v>
      </x:c>
      <x:c r="J1" s="88" t="str">
        <x:v>Query Parameter</x:v>
      </x:c>
      <x:c r="K1" s="88" t="str">
        <x:v>Request Body</x:v>
      </x:c>
      <x:c r="L1" s="88" t="str">
        <x:v>Success Response</x:v>
      </x:c>
      <x:c r="M1" s="88" t="str">
        <x:v>HTTP Status</x:v>
      </x:c>
      <x:c r="N1" s="88" t="str">
        <x:v>주요 처리 로직</x:v>
      </x:c>
      <x:c r="O1" s="88" t="str">
        <x:v>DB 처리</x:v>
      </x:c>
      <x:c r="P1" s="88" t="str">
        <x:v>외부·내부 연동</x:v>
      </x:c>
      <x:c r="Q1" s="88" t="str">
        <x:v>보안·검증</x:v>
      </x:c>
      <x:c r="R1" s="89" t="str">
        <x:v>비고</x:v>
      </x:c>
    </x:row>
    <x:row r="2" ht="50" customHeight="1">
      <x:c r="A2" s="90" t="str">
        <x:v>AUTH-001</x:v>
      </x:c>
      <x:c r="B2" s="41" t="str">
        <x:v>회원가입</x:v>
      </x:c>
      <x:c r="C2" s="29" t="str">
        <x:v>신규 사용자 계정을 생성하고 JWT를 발급한다.</x:v>
      </x:c>
      <x:c r="D2" s="41" t="str">
        <x:v>POST</x:v>
      </x:c>
      <x:c r="E2" s="41" t="str">
        <x:v>/api/auth/signup</x:v>
      </x:c>
      <x:c r="F2" s="41" t="str">
        <x:v>공개</x:v>
      </x:c>
      <x:c r="G2" s="41" t="str">
        <x:v>application/json</x:v>
      </x:c>
      <x:c r="H2" s="41" t="str">
        <x:v>application/json</x:v>
      </x:c>
      <x:c r="I2" s="41" t="str">
        <x:v>-</x:v>
      </x:c>
      <x:c r="J2" s="41" t="str">
        <x:v>-</x:v>
      </x:c>
      <x:c r="K2" s="29" t="str">
        <x:v>SignupRequest</x:v>
      </x:c>
      <x:c r="L2" s="29" t="str">
        <x:v>AuthResponse</x:v>
      </x:c>
      <x:c r="M2" s="41" t="str">
        <x:v>201 / 400, 409, 500</x:v>
      </x:c>
      <x:c r="N2" s="29" t="str">
        <x:v>이메일 중복 검증, BCrypt 비밀번호 암호화</x:v>
      </x:c>
      <x:c r="O2" s="29" t="str">
        <x:v>users INSERT</x:v>
      </x:c>
      <x:c r="P2" s="29" t="str">
        <x:v>-</x:v>
      </x:c>
      <x:c r="Q2" s="29" t="str">
        <x:v>입력값 검증, 비밀번호/계정 정보 노출 금지</x:v>
      </x:c>
      <x:c r="R2" s="91" t="str">
        <x:v>이메일 중복 검증, BCrypt 비밀번호 암호화</x:v>
      </x:c>
    </x:row>
    <x:row r="3" ht="50" customHeight="1">
      <x:c r="A3" s="90" t="str">
        <x:v>AUTH-002</x:v>
      </x:c>
      <x:c r="B3" s="41" t="str">
        <x:v>로그인</x:v>
      </x:c>
      <x:c r="C3" s="29" t="str">
        <x:v>이메일과 비밀번호를 검증하고 JWT를 발급한다.</x:v>
      </x:c>
      <x:c r="D3" s="41" t="str">
        <x:v>POST</x:v>
      </x:c>
      <x:c r="E3" s="41" t="str">
        <x:v>/api/auth/login</x:v>
      </x:c>
      <x:c r="F3" s="41" t="str">
        <x:v>공개</x:v>
      </x:c>
      <x:c r="G3" s="41" t="str">
        <x:v>application/json</x:v>
      </x:c>
      <x:c r="H3" s="41" t="str">
        <x:v>application/json</x:v>
      </x:c>
      <x:c r="I3" s="41" t="str">
        <x:v>-</x:v>
      </x:c>
      <x:c r="J3" s="41" t="str">
        <x:v>-</x:v>
      </x:c>
      <x:c r="K3" s="29" t="str">
        <x:v>LoginRequest</x:v>
      </x:c>
      <x:c r="L3" s="29" t="str">
        <x:v>AuthResponse</x:v>
      </x:c>
      <x:c r="M3" s="41" t="str">
        <x:v>200 / 400, 401, 500</x:v>
      </x:c>
      <x:c r="N3" s="29" t="str">
        <x:v>실패 사유는 계정 존재 여부를 노출하지 않도록 통합 메시지 사용</x:v>
      </x:c>
      <x:c r="O3" s="29" t="str">
        <x:v>users SELECT</x:v>
      </x:c>
      <x:c r="P3" s="29" t="str">
        <x:v>-</x:v>
      </x:c>
      <x:c r="Q3" s="29" t="str">
        <x:v>입력값 검증, 비밀번호/계정 정보 노출 금지</x:v>
      </x:c>
      <x:c r="R3" s="91" t="str">
        <x:v>실패 사유는 계정 존재 여부를 노출하지 않도록 통합 메시지 사용</x:v>
      </x:c>
    </x:row>
    <x:row r="4" ht="50" customHeight="1">
      <x:c r="A4" s="90" t="str">
        <x:v>USER-001</x:v>
      </x:c>
      <x:c r="B4" s="41" t="str">
        <x:v>내 프로필 조회</x:v>
      </x:c>
      <x:c r="C4" s="29" t="str">
        <x:v>현재 로그인 사용자의 분석용 프로필을 조회한다.</x:v>
      </x:c>
      <x:c r="D4" s="41" t="str">
        <x:v>GET</x:v>
      </x:c>
      <x:c r="E4" s="41" t="str">
        <x:v>/api/users/me/profile</x:v>
      </x:c>
      <x:c r="F4" s="41" t="str">
        <x:v>로그인 필요</x:v>
      </x:c>
      <x:c r="G4" s="41" t="str">
        <x:v>application/json</x:v>
      </x:c>
      <x:c r="H4" s="41" t="str">
        <x:v>application/json</x:v>
      </x:c>
      <x:c r="I4" s="41" t="str">
        <x:v>-</x:v>
      </x:c>
      <x:c r="J4" s="41" t="str">
        <x:v>-</x:v>
      </x:c>
      <x:c r="K4" s="29" t="str">
        <x:v>-</x:v>
      </x:c>
      <x:c r="L4" s="29" t="str">
        <x:v>UserProfileResponse</x:v>
      </x:c>
      <x:c r="M4" s="41" t="str">
        <x:v>200 / 401, 404, 500</x:v>
      </x:c>
      <x:c r="N4" s="29" t="str">
        <x:v>JWT subject의 userId 기준 조회</x:v>
      </x:c>
      <x:c r="O4" s="29" t="str">
        <x:v>user_profiles SELECT</x:v>
      </x:c>
      <x:c r="P4" s="29" t="str">
        <x:v>-</x:v>
      </x:c>
      <x:c r="Q4" s="29" t="str">
        <x:v>Bearer JWT 검증, 사용자 소유권 확인</x:v>
      </x:c>
      <x:c r="R4" s="91" t="str">
        <x:v>JWT subject의 userId 기준 조회</x:v>
      </x:c>
    </x:row>
    <x:row r="5" ht="50" customHeight="1">
      <x:c r="A5" s="90" t="str">
        <x:v>USER-002</x:v>
      </x:c>
      <x:c r="B5" s="41" t="str">
        <x:v>내 프로필 저장·수정</x:v>
      </x:c>
      <x:c r="C5" s="29" t="str">
        <x:v>현재 로그인 사용자의 프로필을 신규 저장하거나 수정한다.</x:v>
      </x:c>
      <x:c r="D5" s="41" t="str">
        <x:v>PUT</x:v>
      </x:c>
      <x:c r="E5" s="41" t="str">
        <x:v>/api/users/me/profile</x:v>
      </x:c>
      <x:c r="F5" s="41" t="str">
        <x:v>로그인 필요</x:v>
      </x:c>
      <x:c r="G5" s="41" t="str">
        <x:v>application/json</x:v>
      </x:c>
      <x:c r="H5" s="41" t="str">
        <x:v>application/json</x:v>
      </x:c>
      <x:c r="I5" s="41" t="str">
        <x:v>-</x:v>
      </x:c>
      <x:c r="J5" s="41" t="str">
        <x:v>-</x:v>
      </x:c>
      <x:c r="K5" s="29" t="str">
        <x:v>UserProfileRequest</x:v>
      </x:c>
      <x:c r="L5" s="29" t="str">
        <x:v>UserProfileResponse</x:v>
      </x:c>
      <x:c r="M5" s="41" t="str">
        <x:v>200 / 400, 401, 500</x:v>
      </x:c>
      <x:c r="N5" s="29" t="str">
        <x:v>없으면 INSERT, 있으면 UPDATE</x:v>
      </x:c>
      <x:c r="O5" s="29" t="str">
        <x:v>user_profiles UPSERT</x:v>
      </x:c>
      <x:c r="P5" s="29" t="str">
        <x:v>-</x:v>
      </x:c>
      <x:c r="Q5" s="29" t="str">
        <x:v>Bearer JWT 검증, 사용자 소유권 확인</x:v>
      </x:c>
      <x:c r="R5" s="91" t="str">
        <x:v>없으면 INSERT, 있으면 UPDATE</x:v>
      </x:c>
    </x:row>
    <x:row r="6" ht="50" customHeight="1">
      <x:c r="A6" s="90" t="str">
        <x:v>ANALYSIS-001</x:v>
      </x:c>
      <x:c r="B6" s="41" t="str">
        <x:v>분석 요청 생성</x:v>
      </x:c>
      <x:c r="C6" s="29" t="str">
        <x:v>사용자 입력을 저장하고 FastAPI에 국가·비자 추천 분석을 요청한다.</x:v>
      </x:c>
      <x:c r="D6" s="41" t="str">
        <x:v>POST</x:v>
      </x:c>
      <x:c r="E6" s="41" t="str">
        <x:v>/api/analyses</x:v>
      </x:c>
      <x:c r="F6" s="41" t="str">
        <x:v>로그인 필요</x:v>
      </x:c>
      <x:c r="G6" s="41" t="str">
        <x:v>application/json</x:v>
      </x:c>
      <x:c r="H6" s="41" t="str">
        <x:v>application/json</x:v>
      </x:c>
      <x:c r="I6" s="41" t="str">
        <x:v>-</x:v>
      </x:c>
      <x:c r="J6" s="41" t="str">
        <x:v>-</x:v>
      </x:c>
      <x:c r="K6" s="29" t="str">
        <x:v>AnalysisCreateRequest</x:v>
      </x:c>
      <x:c r="L6" s="29" t="str">
        <x:v>AnalysisCreateResponse</x:v>
      </x:c>
      <x:c r="M6" s="41" t="str">
        <x:v>202 / 400, 401, 422, 500, 503</x:v>
      </x:c>
      <x:c r="N6" s="29" t="str">
        <x:v>분석 상태를 PENDING으로 생성 후 FastAPI 호출</x:v>
      </x:c>
      <x:c r="O6" s="29" t="str">
        <x:v>analysis_requests INSERT, status=PENDING</x:v>
      </x:c>
      <x:c r="P6" s="29" t="str">
        <x:v>FastAPI POST /ai/recommend</x:v>
      </x:c>
      <x:c r="Q6" s="29" t="str">
        <x:v>Bearer JWT 검증, 사용자 소유권 확인</x:v>
      </x:c>
      <x:c r="R6" s="91" t="str">
        <x:v>분석 상태를 PENDING으로 생성 후 FastAPI 호출</x:v>
      </x:c>
    </x:row>
    <x:row r="7" ht="50" customHeight="1">
      <x:c r="A7" s="90" t="str">
        <x:v>ANALYSIS-002</x:v>
      </x:c>
      <x:c r="B7" s="41" t="str">
        <x:v>분석 결과 상세 조회</x:v>
      </x:c>
      <x:c r="C7" s="29" t="str">
        <x:v>분석 진행 상태 또는 완료된 국가별 추천 결과를 조회한다.</x:v>
      </x:c>
      <x:c r="D7" s="41" t="str">
        <x:v>GET</x:v>
      </x:c>
      <x:c r="E7" s="41" t="str">
        <x:v>/api/analyses/{analysisId}</x:v>
      </x:c>
      <x:c r="F7" s="41" t="str">
        <x:v>로그인 필요</x:v>
      </x:c>
      <x:c r="G7" s="41" t="str">
        <x:v>application/json</x:v>
      </x:c>
      <x:c r="H7" s="41" t="str">
        <x:v>application/json</x:v>
      </x:c>
      <x:c r="I7" s="41" t="str">
        <x:v>analysisId: Long</x:v>
      </x:c>
      <x:c r="J7" s="41" t="str">
        <x:v>-</x:v>
      </x:c>
      <x:c r="K7" s="29" t="str">
        <x:v>Path: analysisId</x:v>
      </x:c>
      <x:c r="L7" s="29" t="str">
        <x:v>AnalysisDetailResponse</x:v>
      </x:c>
      <x:c r="M7" s="41" t="str">
        <x:v>200 / 400, 401, 403, 404, 500</x:v>
      </x:c>
      <x:c r="N7" s="29" t="str">
        <x:v>분석 소유권 검증 필수</x:v>
      </x:c>
      <x:c r="O7" s="29" t="str">
        <x:v>analysis_requests / analysis_country_results / reasons SELECT</x:v>
      </x:c>
      <x:c r="P7" s="29" t="str">
        <x:v>-</x:v>
      </x:c>
      <x:c r="Q7" s="29" t="str">
        <x:v>Bearer JWT 검증, 사용자 소유권 확인</x:v>
      </x:c>
      <x:c r="R7" s="91" t="str">
        <x:v>분석 소유권 검증 필수</x:v>
      </x:c>
    </x:row>
    <x:row r="8" ht="50" customHeight="1">
      <x:c r="A8" s="90" t="str">
        <x:v>ANALYSIS-003</x:v>
      </x:c>
      <x:c r="B8" s="41" t="str">
        <x:v>내 분석 이력 조회</x:v>
      </x:c>
      <x:c r="C8" s="29" t="str">
        <x:v>현재 로그인 사용자의 분석 이력을 페이지 단위로 조회한다.</x:v>
      </x:c>
      <x:c r="D8" s="41" t="str">
        <x:v>GET</x:v>
      </x:c>
      <x:c r="E8" s="41" t="str">
        <x:v>/api/analyses</x:v>
      </x:c>
      <x:c r="F8" s="41" t="str">
        <x:v>로그인 필요</x:v>
      </x:c>
      <x:c r="G8" s="41" t="str">
        <x:v>application/json</x:v>
      </x:c>
      <x:c r="H8" s="41" t="str">
        <x:v>application/json</x:v>
      </x:c>
      <x:c r="I8" s="41" t="str">
        <x:v>-</x:v>
      </x:c>
      <x:c r="J8" s="41" t="str">
        <x:v>page=0, size=10, sort=analyzedAt,DESC</x:v>
      </x:c>
      <x:c r="K8" s="29" t="str">
        <x:v>Query: page, size, sort</x:v>
      </x:c>
      <x:c r="L8" s="29" t="str">
        <x:v>AnalysisHistoryPageResponse</x:v>
      </x:c>
      <x:c r="M8" s="41" t="str">
        <x:v>200 / 400, 401, 500</x:v>
      </x:c>
      <x:c r="N8" s="29" t="str">
        <x:v>기본 정렬 analyzedAt,DESC</x:v>
      </x:c>
      <x:c r="O8" s="29" t="str">
        <x:v>analysis_requests 페이지 조회</x:v>
      </x:c>
      <x:c r="P8" s="29" t="str">
        <x:v>-</x:v>
      </x:c>
      <x:c r="Q8" s="29" t="str">
        <x:v>Bearer JWT 검증, 사용자 소유권 확인</x:v>
      </x:c>
      <x:c r="R8" s="91" t="str">
        <x:v>기본 정렬 analyzedAt,DESC</x:v>
      </x:c>
    </x:row>
    <x:row r="9" ht="50" customHeight="1">
      <x:c r="A9" s="90" t="str">
        <x:v>CHAT-001</x:v>
      </x:c>
      <x:c r="B9" s="41" t="str">
        <x:v>RAG 상담 질문</x:v>
      </x:c>
      <x:c r="C9" s="29" t="str">
        <x:v>사용자 질문을 저장하고 공식 정책 문서 기반 RAG 답변을 생성한다.</x:v>
      </x:c>
      <x:c r="D9" s="41" t="str">
        <x:v>POST</x:v>
      </x:c>
      <x:c r="E9" s="41" t="str">
        <x:v>/api/chat</x:v>
      </x:c>
      <x:c r="F9" s="41" t="str">
        <x:v>로그인 필요</x:v>
      </x:c>
      <x:c r="G9" s="41" t="str">
        <x:v>application/json</x:v>
      </x:c>
      <x:c r="H9" s="41" t="str">
        <x:v>application/json</x:v>
      </x:c>
      <x:c r="I9" s="41" t="str">
        <x:v>-</x:v>
      </x:c>
      <x:c r="J9" s="41" t="str">
        <x:v>-</x:v>
      </x:c>
      <x:c r="K9" s="29" t="str">
        <x:v>ChatQuestionRequest</x:v>
      </x:c>
      <x:c r="L9" s="29" t="str">
        <x:v>ChatAnswerResponse</x:v>
      </x:c>
      <x:c r="M9" s="41" t="str">
        <x:v>200 / 400, 401, 404, 422, 500, 503</x:v>
      </x:c>
      <x:c r="N9" s="29" t="str">
        <x:v>sessionId가 없으면 신규 상담 세션 생성</x:v>
      </x:c>
      <x:c r="O9" s="29" t="str">
        <x:v>chat_sessions / chat_messages INSERT</x:v>
      </x:c>
      <x:c r="P9" s="29" t="str">
        <x:v>FastAPI POST /ai/rag/answer</x:v>
      </x:c>
      <x:c r="Q9" s="29" t="str">
        <x:v>Bearer JWT 검증, 사용자 소유권 확인</x:v>
      </x:c>
      <x:c r="R9" s="91" t="str">
        <x:v>sessionId가 없으면 신규 상담 세션 생성</x:v>
      </x:c>
    </x:row>
    <x:row r="10" ht="50" customHeight="1">
      <x:c r="A10" s="90" t="str">
        <x:v>CHAT-002</x:v>
      </x:c>
      <x:c r="B10" s="41" t="str">
        <x:v>상담 이력 조회</x:v>
      </x:c>
      <x:c r="C10" s="29" t="str">
        <x:v>상담 세션의 사용자 질문과 AI 답변 이력을 조회한다.</x:v>
      </x:c>
      <x:c r="D10" s="41" t="str">
        <x:v>GET</x:v>
      </x:c>
      <x:c r="E10" s="41" t="str">
        <x:v>/api/chat/sessions/{sessionId}</x:v>
      </x:c>
      <x:c r="F10" s="41" t="str">
        <x:v>로그인 필요</x:v>
      </x:c>
      <x:c r="G10" s="41" t="str">
        <x:v>application/json</x:v>
      </x:c>
      <x:c r="H10" s="41" t="str">
        <x:v>application/json</x:v>
      </x:c>
      <x:c r="I10" s="41" t="str">
        <x:v>sessionId: Long</x:v>
      </x:c>
      <x:c r="J10" s="41" t="str">
        <x:v>-</x:v>
      </x:c>
      <x:c r="K10" s="29" t="str">
        <x:v>Path: sessionId</x:v>
      </x:c>
      <x:c r="L10" s="29" t="str">
        <x:v>ChatSessionResponse</x:v>
      </x:c>
      <x:c r="M10" s="41" t="str">
        <x:v>200 / 400, 401, 403, 404, 500</x:v>
      </x:c>
      <x:c r="N10" s="29" t="str">
        <x:v>상담 세션 소유권 검증 필수</x:v>
      </x:c>
      <x:c r="O10" s="29" t="str">
        <x:v>chat_sessions / chat_messages SELECT</x:v>
      </x:c>
      <x:c r="P10" s="29" t="str">
        <x:v>-</x:v>
      </x:c>
      <x:c r="Q10" s="29" t="str">
        <x:v>Bearer JWT 검증, 사용자 소유권 확인</x:v>
      </x:c>
      <x:c r="R10" s="91" t="str">
        <x:v>상담 세션 소유권 검증 필수</x:v>
      </x:c>
    </x:row>
    <x:row r="11" ht="50" customHeight="1">
      <x:c r="A11" s="90" t="str">
        <x:v>AI-001</x:v>
      </x:c>
      <x:c r="B11" s="41" t="str">
        <x:v>국가·비자 추천 분석</x:v>
      </x:c>
      <x:c r="C11" s="29" t="str">
        <x:v>비자 규칙, 국가 환경 ML, 경력 매칭, 선호 점수를 종합한다.</x:v>
      </x:c>
      <x:c r="D11" s="41" t="str">
        <x:v>POST</x:v>
      </x:c>
      <x:c r="E11" s="41" t="str">
        <x:v>/ai/recommend</x:v>
      </x:c>
      <x:c r="F11" s="41" t="str">
        <x:v>내부 전용</x:v>
      </x:c>
      <x:c r="G11" s="41" t="str">
        <x:v>application/json</x:v>
      </x:c>
      <x:c r="H11" s="41" t="str">
        <x:v>application/json</x:v>
      </x:c>
      <x:c r="I11" s="41" t="str">
        <x:v>-</x:v>
      </x:c>
      <x:c r="J11" s="41" t="str">
        <x:v>-</x:v>
      </x:c>
      <x:c r="K11" s="29" t="str">
        <x:v>AiRecommendRequest</x:v>
      </x:c>
      <x:c r="L11" s="29" t="str">
        <x:v>AiRecommendResponse</x:v>
      </x:c>
      <x:c r="M11" s="41" t="str">
        <x:v>200 / 400, 422, 500</x:v>
      </x:c>
      <x:c r="N11" s="29" t="str">
        <x:v>지원 국가는 CAN, AUS, GBR로 고정</x:v>
      </x:c>
      <x:c r="O11" s="29" t="str">
        <x:v>직접 DB 저장 없음</x:v>
      </x:c>
      <x:c r="P11" s="29" t="str">
        <x:v>ML 모델, 비자 규칙 데이터, 직업 임베딩</x:v>
      </x:c>
      <x:c r="Q11" s="29" t="str">
        <x:v>사설 네트워크 또는 내부 API Key 적용</x:v>
      </x:c>
      <x:c r="R11" s="91" t="str">
        <x:v>지원 국가는 CAN, AUS, GBR로 고정</x:v>
      </x:c>
    </x:row>
    <x:row r="12" ht="50" customHeight="1">
      <x:c r="A12" s="90" t="str">
        <x:v>AI-002</x:v>
      </x:c>
      <x:c r="B12" s="41" t="str">
        <x:v>RAG 답변 생성</x:v>
      </x:c>
      <x:c r="C12" s="29" t="str">
        <x:v>질문과 국가·비자 조건을 기반으로 pgvector 검색 후 LLM 답변을 생성한다.</x:v>
      </x:c>
      <x:c r="D12" s="41" t="str">
        <x:v>POST</x:v>
      </x:c>
      <x:c r="E12" s="41" t="str">
        <x:v>/ai/rag/answer</x:v>
      </x:c>
      <x:c r="F12" s="41" t="str">
        <x:v>내부 전용</x:v>
      </x:c>
      <x:c r="G12" s="41" t="str">
        <x:v>application/json</x:v>
      </x:c>
      <x:c r="H12" s="41" t="str">
        <x:v>application/json</x:v>
      </x:c>
      <x:c r="I12" s="41" t="str">
        <x:v>-</x:v>
      </x:c>
      <x:c r="J12" s="41" t="str">
        <x:v>-</x:v>
      </x:c>
      <x:c r="K12" s="29" t="str">
        <x:v>AiRagRequest</x:v>
      </x:c>
      <x:c r="L12" s="29" t="str">
        <x:v>AiRagResponse</x:v>
      </x:c>
      <x:c r="M12" s="41" t="str">
        <x:v>200 / 400, 404, 422, 500, 503</x:v>
      </x:c>
      <x:c r="N12" s="29" t="str">
        <x:v>검색 근거가 없으면 answerable=false 반환</x:v>
      </x:c>
      <x:c r="O12" s="29" t="str">
        <x:v>policy_chunks pgvector SELECT</x:v>
      </x:c>
      <x:c r="P12" s="29" t="str">
        <x:v>pgvector, LLM API</x:v>
      </x:c>
      <x:c r="Q12" s="29" t="str">
        <x:v>사설 네트워크 또는 내부 API Key 적용</x:v>
      </x:c>
      <x:c r="R12" s="91" t="str">
        <x:v>검색 근거가 없으면 answerable=false 반환</x:v>
      </x:c>
    </x:row>
    <x:row r="13" ht="50" customHeight="1">
      <x:c r="A13" s="90" t="str">
        <x:v>SYS-001</x:v>
      </x:c>
      <x:c r="B13" s="41" t="str">
        <x:v>Backend 상태 확인</x:v>
      </x:c>
      <x:c r="C13" s="29" t="str">
        <x:v>Spring Boot와 DB 연결 상태를 확인한다.</x:v>
      </x:c>
      <x:c r="D13" s="41" t="str">
        <x:v>GET</x:v>
      </x:c>
      <x:c r="E13" s="41" t="str">
        <x:v>/api/health</x:v>
      </x:c>
      <x:c r="F13" s="41" t="str">
        <x:v>공개</x:v>
      </x:c>
      <x:c r="G13" s="41" t="str">
        <x:v>application/json</x:v>
      </x:c>
      <x:c r="H13" s="41" t="str">
        <x:v>application/json</x:v>
      </x:c>
      <x:c r="I13" s="41" t="str">
        <x:v>-</x:v>
      </x:c>
      <x:c r="J13" s="41" t="str">
        <x:v>-</x:v>
      </x:c>
      <x:c r="K13" s="29" t="str">
        <x:v>-</x:v>
      </x:c>
      <x:c r="L13" s="29" t="str">
        <x:v>HealthResponse</x:v>
      </x:c>
      <x:c r="M13" s="41" t="str">
        <x:v>200 / 503</x:v>
      </x:c>
      <x:c r="N13" s="29" t="str">
        <x:v>민감정보는 응답에 포함하지 않음</x:v>
      </x:c>
      <x:c r="O13" s="29" t="str">
        <x:v>DB health check</x:v>
      </x:c>
      <x:c r="P13" s="29" t="str">
        <x:v>-</x:v>
      </x:c>
      <x:c r="Q13" s="29" t="str">
        <x:v>입력값 검증, 비밀번호/계정 정보 노출 금지</x:v>
      </x:c>
      <x:c r="R13" s="91" t="str">
        <x:v>민감정보는 응답에 포함하지 않음</x:v>
      </x:c>
    </x:row>
    <x:row r="14" ht="50" customHeight="1">
      <x:c r="A14" s="92" t="str">
        <x:v>SYS-002</x:v>
      </x:c>
      <x:c r="B14" s="93" t="str">
        <x:v>AI Server 상태 확인</x:v>
      </x:c>
      <x:c r="C14" s="67" t="str">
        <x:v>FastAPI, 모델 파일, pgvector 연결 상태를 확인한다.</x:v>
      </x:c>
      <x:c r="D14" s="93" t="str">
        <x:v>GET</x:v>
      </x:c>
      <x:c r="E14" s="93" t="str">
        <x:v>/ai/health</x:v>
      </x:c>
      <x:c r="F14" s="93" t="str">
        <x:v>내부 전용</x:v>
      </x:c>
      <x:c r="G14" s="93" t="str">
        <x:v>application/json</x:v>
      </x:c>
      <x:c r="H14" s="93" t="str">
        <x:v>application/json</x:v>
      </x:c>
      <x:c r="I14" s="93" t="str">
        <x:v>-</x:v>
      </x:c>
      <x:c r="J14" s="93" t="str">
        <x:v>-</x:v>
      </x:c>
      <x:c r="K14" s="67" t="str">
        <x:v>-</x:v>
      </x:c>
      <x:c r="L14" s="67" t="str">
        <x:v>HealthResponse</x:v>
      </x:c>
      <x:c r="M14" s="93" t="str">
        <x:v>200 / 503</x:v>
      </x:c>
      <x:c r="N14" s="67" t="str">
        <x:v>모델 버전과 loaded 여부만 반환</x:v>
      </x:c>
      <x:c r="O14" s="67" t="str">
        <x:v>pgvector / model health check</x:v>
      </x:c>
      <x:c r="P14" s="67" t="str">
        <x:v>PostgreSQL, 모델 파일</x:v>
      </x:c>
      <x:c r="Q14" s="67" t="str">
        <x:v>사설 네트워크 또는 내부 API Key 적용</x:v>
      </x:c>
      <x:c r="R14" s="94" t="str">
        <x:v>모델 버전과 loaded 여부만 반환</x:v>
      </x:c>
    </x:row>
  </x:sheetData>
  <x:pageMargins left="0.7" right="0.7" top="0.75" bottom="0.75" header="0.3" footer="0.3"/>
  <x:tableParts count="1">
    <x:tablePart xmlns:r="http://schemas.openxmlformats.org/officeDocument/2006/relationships" r:id="Raec0f840c5c448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5" hidden="0" customWidth="1"/>
    <x:col min="4" max="4" width="38" hidden="0" customWidth="1"/>
    <x:col min="5" max="5" width="20" hidden="0" customWidth="1"/>
    <x:col min="6" max="6" width="9" hidden="0" customWidth="1"/>
    <x:col min="7" max="7" width="34" hidden="0" customWidth="1"/>
    <x:col min="8" max="8" width="36" hidden="0" customWidth="1"/>
    <x:col min="9" max="9" width="40" hidden="0" customWidth="1"/>
  </x:cols>
  <x:sheetData>
    <x:row r="1" ht="38" customHeight="1">
      <x:c r="A1" s="87" t="str">
        <x:v>Schema</x:v>
      </x:c>
      <x:c r="B1" s="88" t="str">
        <x:v>구분</x:v>
      </x:c>
      <x:c r="C1" s="88" t="str">
        <x:v>필드명</x:v>
      </x:c>
      <x:c r="D1" s="88" t="str">
        <x:v>JSON Path</x:v>
      </x:c>
      <x:c r="E1" s="88" t="str">
        <x:v>데이터 타입</x:v>
      </x:c>
      <x:c r="F1" s="88" t="str">
        <x:v>필수</x:v>
      </x:c>
      <x:c r="G1" s="88" t="str">
        <x:v>제약 조건</x:v>
      </x:c>
      <x:c r="H1" s="88" t="str">
        <x:v>예시값</x:v>
      </x:c>
      <x:c r="I1" s="89" t="str">
        <x:v>설명</x:v>
      </x:c>
    </x:row>
    <x:row r="2" ht="38" customHeight="1">
      <x:c r="A2" s="109" t="str">
        <x:v>SignupRequest</x:v>
      </x:c>
      <x:c r="B2" s="41" t="str">
        <x:v>요청</x:v>
      </x:c>
      <x:c r="C2" s="41" t="str">
        <x:v>name</x:v>
      </x:c>
      <x:c r="D2" s="41" t="str">
        <x:v>name</x:v>
      </x:c>
      <x:c r="E2" s="41" t="str">
        <x:v>String</x:v>
      </x:c>
      <x:c r="F2" s="41" t="str">
        <x:v>Y</x:v>
      </x:c>
      <x:c r="G2" s="29" t="str">
        <x:v>2~50자</x:v>
      </x:c>
      <x:c r="H2" s="29" t="str">
        <x:v>곽진아</x:v>
      </x:c>
      <x:c r="I2" s="91" t="str">
        <x:v>사용자 이름</x:v>
      </x:c>
    </x:row>
    <x:row r="3" ht="38" customHeight="1">
      <x:c r="A3" s="109" t="str">
        <x:v>SignupRequest</x:v>
      </x:c>
      <x:c r="B3" s="41" t="str">
        <x:v>요청</x:v>
      </x:c>
      <x:c r="C3" s="41" t="str">
        <x:v>email</x:v>
      </x:c>
      <x:c r="D3" s="41" t="str">
        <x:v>email</x:v>
      </x:c>
      <x:c r="E3" s="41" t="str">
        <x:v>String</x:v>
      </x:c>
      <x:c r="F3" s="41" t="str">
        <x:v>Y</x:v>
      </x:c>
      <x:c r="G3" s="29" t="str">
        <x:v>이메일 형식, 최대 100자</x:v>
      </x:c>
      <x:c r="H3" s="29" t="str">
        <x:v>user@example.com</x:v>
      </x:c>
      <x:c r="I3" s="91" t="str">
        <x:v>로그인 이메일</x:v>
      </x:c>
    </x:row>
    <x:row r="4" ht="38" customHeight="1">
      <x:c r="A4" s="109" t="str">
        <x:v>SignupRequest</x:v>
      </x:c>
      <x:c r="B4" s="41" t="str">
        <x:v>요청</x:v>
      </x:c>
      <x:c r="C4" s="41" t="str">
        <x:v>password</x:v>
      </x:c>
      <x:c r="D4" s="41" t="str">
        <x:v>password</x:v>
      </x:c>
      <x:c r="E4" s="41" t="str">
        <x:v>String</x:v>
      </x:c>
      <x:c r="F4" s="41" t="str">
        <x:v>Y</x:v>
      </x:c>
      <x:c r="G4" s="29" t="str">
        <x:v>8~72자, 영문·숫자 포함</x:v>
      </x:c>
      <x:c r="H4" s="29" t="str">
        <x:v>Passw0rd!</x:v>
      </x:c>
      <x:c r="I4" s="91" t="str">
        <x:v>원문 저장 금지</x:v>
      </x:c>
    </x:row>
    <x:row r="5" ht="38" customHeight="1">
      <x:c r="A5" s="109" t="str">
        <x:v>LoginRequest</x:v>
      </x:c>
      <x:c r="B5" s="41" t="str">
        <x:v>요청</x:v>
      </x:c>
      <x:c r="C5" s="41" t="str">
        <x:v>email</x:v>
      </x:c>
      <x:c r="D5" s="41" t="str">
        <x:v>email</x:v>
      </x:c>
      <x:c r="E5" s="41" t="str">
        <x:v>String</x:v>
      </x:c>
      <x:c r="F5" s="41" t="str">
        <x:v>Y</x:v>
      </x:c>
      <x:c r="G5" s="29" t="str">
        <x:v>이메일 형식</x:v>
      </x:c>
      <x:c r="H5" s="29" t="str">
        <x:v>user@example.com</x:v>
      </x:c>
      <x:c r="I5" s="91" t="str">
        <x:v>로그인 이메일</x:v>
      </x:c>
    </x:row>
    <x:row r="6" ht="38" customHeight="1">
      <x:c r="A6" s="109" t="str">
        <x:v>LoginRequest</x:v>
      </x:c>
      <x:c r="B6" s="41" t="str">
        <x:v>요청</x:v>
      </x:c>
      <x:c r="C6" s="41" t="str">
        <x:v>password</x:v>
      </x:c>
      <x:c r="D6" s="41" t="str">
        <x:v>password</x:v>
      </x:c>
      <x:c r="E6" s="41" t="str">
        <x:v>String</x:v>
      </x:c>
      <x:c r="F6" s="41" t="str">
        <x:v>Y</x:v>
      </x:c>
      <x:c r="G6" s="29" t="str">
        <x:v>8~72자</x:v>
      </x:c>
      <x:c r="H6" s="29" t="str">
        <x:v>Passw0rd!</x:v>
      </x:c>
      <x:c r="I6" s="91" t="str">
        <x:v>로그인 비밀번호</x:v>
      </x:c>
    </x:row>
    <x:row r="7" ht="38" customHeight="1">
      <x:c r="A7" s="109" t="str">
        <x:v>AuthResponse</x:v>
      </x:c>
      <x:c r="B7" s="41" t="str">
        <x:v>응답</x:v>
      </x:c>
      <x:c r="C7" s="41" t="str">
        <x:v>accessToken</x:v>
      </x:c>
      <x:c r="D7" s="41" t="str">
        <x:v>accessToken</x:v>
      </x:c>
      <x:c r="E7" s="41" t="str">
        <x:v>String</x:v>
      </x:c>
      <x:c r="F7" s="41" t="str">
        <x:v>Y</x:v>
      </x:c>
      <x:c r="G7" s="29" t="str">
        <x:v>JWT</x:v>
      </x:c>
      <x:c r="H7" s="29" t="str">
        <x:v>eyJhbGciOi...</x:v>
      </x:c>
      <x:c r="I7" s="91" t="str">
        <x:v>접근 토큰</x:v>
      </x:c>
    </x:row>
    <x:row r="8" ht="38" customHeight="1">
      <x:c r="A8" s="109" t="str">
        <x:v>AuthResponse</x:v>
      </x:c>
      <x:c r="B8" s="41" t="str">
        <x:v>응답</x:v>
      </x:c>
      <x:c r="C8" s="41" t="str">
        <x:v>tokenType</x:v>
      </x:c>
      <x:c r="D8" s="41" t="str">
        <x:v>tokenType</x:v>
      </x:c>
      <x:c r="E8" s="41" t="str">
        <x:v>String</x:v>
      </x:c>
      <x:c r="F8" s="41" t="str">
        <x:v>Y</x:v>
      </x:c>
      <x:c r="G8" s="29" t="str">
        <x:v>Bearer 고정</x:v>
      </x:c>
      <x:c r="H8" s="29" t="str">
        <x:v>Bearer</x:v>
      </x:c>
      <x:c r="I8" s="91" t="str">
        <x:v>토큰 유형</x:v>
      </x:c>
    </x:row>
    <x:row r="9" ht="38" customHeight="1">
      <x:c r="A9" s="109" t="str">
        <x:v>AuthResponse</x:v>
      </x:c>
      <x:c r="B9" s="41" t="str">
        <x:v>응답</x:v>
      </x:c>
      <x:c r="C9" s="41" t="str">
        <x:v>expiresIn</x:v>
      </x:c>
      <x:c r="D9" s="41" t="str">
        <x:v>expiresIn</x:v>
      </x:c>
      <x:c r="E9" s="41" t="str">
        <x:v>Long</x:v>
      </x:c>
      <x:c r="F9" s="41" t="str">
        <x:v>Y</x:v>
      </x:c>
      <x:c r="G9" s="29" t="str">
        <x:v>초 단위</x:v>
      </x:c>
      <x:c r="H9" s="29" t="n">
        <x:v>3600</x:v>
      </x:c>
      <x:c r="I9" s="91" t="str">
        <x:v>만료까지 남은 시간</x:v>
      </x:c>
    </x:row>
    <x:row r="10" ht="38" customHeight="1">
      <x:c r="A10" s="109" t="str">
        <x:v>AuthResponse</x:v>
      </x:c>
      <x:c r="B10" s="41" t="str">
        <x:v>응답</x:v>
      </x:c>
      <x:c r="C10" s="41" t="str">
        <x:v>userId</x:v>
      </x:c>
      <x:c r="D10" s="41" t="str">
        <x:v>user.id</x:v>
      </x:c>
      <x:c r="E10" s="41" t="str">
        <x:v>Long</x:v>
      </x:c>
      <x:c r="F10" s="41" t="str">
        <x:v>Y</x:v>
      </x:c>
      <x:c r="G10" s="29" t="str">
        <x:v>1 이상</x:v>
      </x:c>
      <x:c r="H10" s="29" t="n">
        <x:v>1</x:v>
      </x:c>
      <x:c r="I10" s="91" t="str">
        <x:v>사용자 ID</x:v>
      </x:c>
    </x:row>
    <x:row r="11" ht="38" customHeight="1">
      <x:c r="A11" s="109" t="str">
        <x:v>AuthResponse</x:v>
      </x:c>
      <x:c r="B11" s="41" t="str">
        <x:v>응답</x:v>
      </x:c>
      <x:c r="C11" s="41" t="str">
        <x:v>name</x:v>
      </x:c>
      <x:c r="D11" s="41" t="str">
        <x:v>user.name</x:v>
      </x:c>
      <x:c r="E11" s="41" t="str">
        <x:v>String</x:v>
      </x:c>
      <x:c r="F11" s="41" t="str">
        <x:v>Y</x:v>
      </x:c>
      <x:c r="G11" s="29" t="str">
        <x:v>-</x:v>
      </x:c>
      <x:c r="H11" s="29" t="str">
        <x:v>곽진아</x:v>
      </x:c>
      <x:c r="I11" s="91" t="str">
        <x:v>사용자 이름</x:v>
      </x:c>
    </x:row>
    <x:row r="12" ht="38" customHeight="1">
      <x:c r="A12" s="109" t="str">
        <x:v>AuthResponse</x:v>
      </x:c>
      <x:c r="B12" s="41" t="str">
        <x:v>응답</x:v>
      </x:c>
      <x:c r="C12" s="41" t="str">
        <x:v>email</x:v>
      </x:c>
      <x:c r="D12" s="41" t="str">
        <x:v>user.email</x:v>
      </x:c>
      <x:c r="E12" s="41" t="str">
        <x:v>String</x:v>
      </x:c>
      <x:c r="F12" s="41" t="str">
        <x:v>Y</x:v>
      </x:c>
      <x:c r="G12" s="29" t="str">
        <x:v>-</x:v>
      </x:c>
      <x:c r="H12" s="29" t="str">
        <x:v>user@example.com</x:v>
      </x:c>
      <x:c r="I12" s="91" t="str">
        <x:v>사용자 이메일</x:v>
      </x:c>
    </x:row>
    <x:row r="13" ht="38" customHeight="1">
      <x:c r="A13" s="109" t="str">
        <x:v>UserProfileRequest</x:v>
      </x:c>
      <x:c r="B13" s="41" t="str">
        <x:v>요청</x:v>
      </x:c>
      <x:c r="C13" s="41" t="str">
        <x:v>age</x:v>
      </x:c>
      <x:c r="D13" s="41" t="str">
        <x:v>age</x:v>
      </x:c>
      <x:c r="E13" s="41" t="str">
        <x:v>Integer</x:v>
      </x:c>
      <x:c r="F13" s="41" t="str">
        <x:v>Y</x:v>
      </x:c>
      <x:c r="G13" s="29" t="str">
        <x:v>18~64</x:v>
      </x:c>
      <x:c r="H13" s="29" t="n">
        <x:v>30</x:v>
      </x:c>
      <x:c r="I13" s="91" t="str">
        <x:v>만 나이</x:v>
      </x:c>
    </x:row>
    <x:row r="14" ht="38" customHeight="1">
      <x:c r="A14" s="109" t="str">
        <x:v>UserProfileRequest</x:v>
      </x:c>
      <x:c r="B14" s="41" t="str">
        <x:v>요청</x:v>
      </x:c>
      <x:c r="C14" s="41" t="str">
        <x:v>education</x:v>
      </x:c>
      <x:c r="D14" s="41" t="str">
        <x:v>education</x:v>
      </x:c>
      <x:c r="E14" s="41" t="str">
        <x:v>Enum</x:v>
      </x:c>
      <x:c r="F14" s="41" t="str">
        <x:v>Y</x:v>
      </x:c>
      <x:c r="G14" s="29" t="str">
        <x:v>EDUCATION 코드</x:v>
      </x:c>
      <x:c r="H14" s="29" t="str">
        <x:v>BACHELOR</x:v>
      </x:c>
      <x:c r="I14" s="91" t="str">
        <x:v>최종 학력</x:v>
      </x:c>
    </x:row>
    <x:row r="15" ht="38" customHeight="1">
      <x:c r="A15" s="109" t="str">
        <x:v>UserProfileRequest</x:v>
      </x:c>
      <x:c r="B15" s="41" t="str">
        <x:v>요청</x:v>
      </x:c>
      <x:c r="C15" s="41" t="str">
        <x:v>major</x:v>
      </x:c>
      <x:c r="D15" s="41" t="str">
        <x:v>major</x:v>
      </x:c>
      <x:c r="E15" s="41" t="str">
        <x:v>String</x:v>
      </x:c>
      <x:c r="F15" s="41" t="str">
        <x:v>Y</x:v>
      </x:c>
      <x:c r="G15" s="29" t="str">
        <x:v>1~100자</x:v>
      </x:c>
      <x:c r="H15" s="29" t="str">
        <x:v>Computer Science</x:v>
      </x:c>
      <x:c r="I15" s="91" t="str">
        <x:v>전공</x:v>
      </x:c>
    </x:row>
    <x:row r="16" ht="38" customHeight="1">
      <x:c r="A16" s="109" t="str">
        <x:v>UserProfileRequest</x:v>
      </x:c>
      <x:c r="B16" s="41" t="str">
        <x:v>요청</x:v>
      </x:c>
      <x:c r="C16" s="41" t="str">
        <x:v>occupation</x:v>
      </x:c>
      <x:c r="D16" s="41" t="str">
        <x:v>occupation</x:v>
      </x:c>
      <x:c r="E16" s="41" t="str">
        <x:v>String</x:v>
      </x:c>
      <x:c r="F16" s="41" t="str">
        <x:v>Y</x:v>
      </x:c>
      <x:c r="G16" s="29" t="str">
        <x:v>1~100자</x:v>
      </x:c>
      <x:c r="H16" s="29" t="str">
        <x:v>Software Engineer</x:v>
      </x:c>
      <x:c r="I16" s="91" t="str">
        <x:v>현재 직업</x:v>
      </x:c>
    </x:row>
    <x:row r="17" ht="38" customHeight="1">
      <x:c r="A17" s="109" t="str">
        <x:v>UserProfileRequest</x:v>
      </x:c>
      <x:c r="B17" s="41" t="str">
        <x:v>요청</x:v>
      </x:c>
      <x:c r="C17" s="41" t="str">
        <x:v>experienceYears</x:v>
      </x:c>
      <x:c r="D17" s="41" t="str">
        <x:v>experienceYears</x:v>
      </x:c>
      <x:c r="E17" s="41" t="str">
        <x:v>Integer</x:v>
      </x:c>
      <x:c r="F17" s="41" t="str">
        <x:v>Y</x:v>
      </x:c>
      <x:c r="G17" s="29" t="str">
        <x:v>0~40</x:v>
      </x:c>
      <x:c r="H17" s="29" t="n">
        <x:v>5</x:v>
      </x:c>
      <x:c r="I17" s="91" t="str">
        <x:v>관련 경력 연수</x:v>
      </x:c>
    </x:row>
    <x:row r="18" ht="38" customHeight="1">
      <x:c r="A18" s="109" t="str">
        <x:v>UserProfileResponse</x:v>
      </x:c>
      <x:c r="B18" s="41" t="str">
        <x:v>응답</x:v>
      </x:c>
      <x:c r="C18" s="41" t="str">
        <x:v>profileId</x:v>
      </x:c>
      <x:c r="D18" s="41" t="str">
        <x:v>profileId</x:v>
      </x:c>
      <x:c r="E18" s="41" t="str">
        <x:v>Long</x:v>
      </x:c>
      <x:c r="F18" s="41" t="str">
        <x:v>Y</x:v>
      </x:c>
      <x:c r="G18" s="29" t="str">
        <x:v>-</x:v>
      </x:c>
      <x:c r="H18" s="29" t="n">
        <x:v>10</x:v>
      </x:c>
      <x:c r="I18" s="91" t="str">
        <x:v>프로필 ID</x:v>
      </x:c>
    </x:row>
    <x:row r="19" ht="38" customHeight="1">
      <x:c r="A19" s="109" t="str">
        <x:v>UserProfileResponse</x:v>
      </x:c>
      <x:c r="B19" s="41" t="str">
        <x:v>응답</x:v>
      </x:c>
      <x:c r="C19" s="41" t="str">
        <x:v>age</x:v>
      </x:c>
      <x:c r="D19" s="41" t="str">
        <x:v>age</x:v>
      </x:c>
      <x:c r="E19" s="41" t="str">
        <x:v>Integer</x:v>
      </x:c>
      <x:c r="F19" s="41" t="str">
        <x:v>Y</x:v>
      </x:c>
      <x:c r="G19" s="29" t="str">
        <x:v>18~64</x:v>
      </x:c>
      <x:c r="H19" s="29" t="n">
        <x:v>30</x:v>
      </x:c>
      <x:c r="I19" s="91" t="str">
        <x:v>만 나이</x:v>
      </x:c>
    </x:row>
    <x:row r="20" ht="38" customHeight="1">
      <x:c r="A20" s="109" t="str">
        <x:v>UserProfileResponse</x:v>
      </x:c>
      <x:c r="B20" s="41" t="str">
        <x:v>응답</x:v>
      </x:c>
      <x:c r="C20" s="41" t="str">
        <x:v>education</x:v>
      </x:c>
      <x:c r="D20" s="41" t="str">
        <x:v>education</x:v>
      </x:c>
      <x:c r="E20" s="41" t="str">
        <x:v>Enum</x:v>
      </x:c>
      <x:c r="F20" s="41" t="str">
        <x:v>Y</x:v>
      </x:c>
      <x:c r="G20" s="29" t="str">
        <x:v>EDUCATION 코드</x:v>
      </x:c>
      <x:c r="H20" s="29" t="str">
        <x:v>BACHELOR</x:v>
      </x:c>
      <x:c r="I20" s="91" t="str">
        <x:v>최종 학력</x:v>
      </x:c>
    </x:row>
    <x:row r="21" ht="38" customHeight="1">
      <x:c r="A21" s="109" t="str">
        <x:v>UserProfileResponse</x:v>
      </x:c>
      <x:c r="B21" s="41" t="str">
        <x:v>응답</x:v>
      </x:c>
      <x:c r="C21" s="41" t="str">
        <x:v>major</x:v>
      </x:c>
      <x:c r="D21" s="41" t="str">
        <x:v>major</x:v>
      </x:c>
      <x:c r="E21" s="41" t="str">
        <x:v>String</x:v>
      </x:c>
      <x:c r="F21" s="41" t="str">
        <x:v>Y</x:v>
      </x:c>
      <x:c r="G21" s="29" t="str">
        <x:v>-</x:v>
      </x:c>
      <x:c r="H21" s="29" t="str">
        <x:v>Computer Science</x:v>
      </x:c>
      <x:c r="I21" s="91" t="str">
        <x:v>전공</x:v>
      </x:c>
    </x:row>
    <x:row r="22" ht="38" customHeight="1">
      <x:c r="A22" s="109" t="str">
        <x:v>UserProfileResponse</x:v>
      </x:c>
      <x:c r="B22" s="41" t="str">
        <x:v>응답</x:v>
      </x:c>
      <x:c r="C22" s="41" t="str">
        <x:v>occupation</x:v>
      </x:c>
      <x:c r="D22" s="41" t="str">
        <x:v>occupation</x:v>
      </x:c>
      <x:c r="E22" s="41" t="str">
        <x:v>String</x:v>
      </x:c>
      <x:c r="F22" s="41" t="str">
        <x:v>Y</x:v>
      </x:c>
      <x:c r="G22" s="29" t="str">
        <x:v>-</x:v>
      </x:c>
      <x:c r="H22" s="29" t="str">
        <x:v>Software Engineer</x:v>
      </x:c>
      <x:c r="I22" s="91" t="str">
        <x:v>현재 직업</x:v>
      </x:c>
    </x:row>
    <x:row r="23" ht="38" customHeight="1">
      <x:c r="A23" s="109" t="str">
        <x:v>UserProfileResponse</x:v>
      </x:c>
      <x:c r="B23" s="41" t="str">
        <x:v>응답</x:v>
      </x:c>
      <x:c r="C23" s="41" t="str">
        <x:v>experienceYears</x:v>
      </x:c>
      <x:c r="D23" s="41" t="str">
        <x:v>experienceYears</x:v>
      </x:c>
      <x:c r="E23" s="41" t="str">
        <x:v>Integer</x:v>
      </x:c>
      <x:c r="F23" s="41" t="str">
        <x:v>Y</x:v>
      </x:c>
      <x:c r="G23" s="29" t="str">
        <x:v>-</x:v>
      </x:c>
      <x:c r="H23" s="29" t="n">
        <x:v>5</x:v>
      </x:c>
      <x:c r="I23" s="91" t="str">
        <x:v>경력 연수</x:v>
      </x:c>
    </x:row>
    <x:row r="24" ht="38" customHeight="1">
      <x:c r="A24" s="109" t="str">
        <x:v>UserProfileResponse</x:v>
      </x:c>
      <x:c r="B24" s="41" t="str">
        <x:v>응답</x:v>
      </x:c>
      <x:c r="C24" s="41" t="str">
        <x:v>updatedAt</x:v>
      </x:c>
      <x:c r="D24" s="41" t="str">
        <x:v>updatedAt</x:v>
      </x:c>
      <x:c r="E24" s="41" t="str">
        <x:v>DateTime</x:v>
      </x:c>
      <x:c r="F24" s="41" t="str">
        <x:v>Y</x:v>
      </x:c>
      <x:c r="G24" s="29" t="str">
        <x:v>ISO-8601</x:v>
      </x:c>
      <x:c r="H24" s="29" t="n">
        <x:v>46220.458333333336</x:v>
      </x:c>
      <x:c r="I24" s="91" t="str">
        <x:v>수정일시</x:v>
      </x:c>
    </x:row>
    <x:row r="25" ht="38" customHeight="1">
      <x:c r="A25" s="109" t="str">
        <x:v>AnalysisCreateRequest</x:v>
      </x:c>
      <x:c r="B25" s="41" t="str">
        <x:v>요청</x:v>
      </x:c>
      <x:c r="C25" s="41" t="str">
        <x:v>age</x:v>
      </x:c>
      <x:c r="D25" s="41" t="str">
        <x:v>age</x:v>
      </x:c>
      <x:c r="E25" s="41" t="str">
        <x:v>Integer</x:v>
      </x:c>
      <x:c r="F25" s="41" t="str">
        <x:v>Y</x:v>
      </x:c>
      <x:c r="G25" s="29" t="str">
        <x:v>18~64</x:v>
      </x:c>
      <x:c r="H25" s="29" t="n">
        <x:v>30</x:v>
      </x:c>
      <x:c r="I25" s="91" t="str">
        <x:v>만 나이</x:v>
      </x:c>
    </x:row>
    <x:row r="26" ht="38" customHeight="1">
      <x:c r="A26" s="109" t="str">
        <x:v>AnalysisCreateRequest</x:v>
      </x:c>
      <x:c r="B26" s="41" t="str">
        <x:v>요청</x:v>
      </x:c>
      <x:c r="C26" s="41" t="str">
        <x:v>education</x:v>
      </x:c>
      <x:c r="D26" s="41" t="str">
        <x:v>education</x:v>
      </x:c>
      <x:c r="E26" s="41" t="str">
        <x:v>Enum</x:v>
      </x:c>
      <x:c r="F26" s="41" t="str">
        <x:v>Y</x:v>
      </x:c>
      <x:c r="G26" s="29" t="str">
        <x:v>EDUCATION 코드</x:v>
      </x:c>
      <x:c r="H26" s="29" t="str">
        <x:v>BACHELOR</x:v>
      </x:c>
      <x:c r="I26" s="91" t="str">
        <x:v>최종 학력</x:v>
      </x:c>
    </x:row>
    <x:row r="27" ht="38" customHeight="1">
      <x:c r="A27" s="109" t="str">
        <x:v>AnalysisCreateRequest</x:v>
      </x:c>
      <x:c r="B27" s="41" t="str">
        <x:v>요청</x:v>
      </x:c>
      <x:c r="C27" s="41" t="str">
        <x:v>major</x:v>
      </x:c>
      <x:c r="D27" s="41" t="str">
        <x:v>major</x:v>
      </x:c>
      <x:c r="E27" s="41" t="str">
        <x:v>String</x:v>
      </x:c>
      <x:c r="F27" s="41" t="str">
        <x:v>Y</x:v>
      </x:c>
      <x:c r="G27" s="29" t="str">
        <x:v>1~100자</x:v>
      </x:c>
      <x:c r="H27" s="29" t="str">
        <x:v>Computer Science</x:v>
      </x:c>
      <x:c r="I27" s="91" t="str">
        <x:v>전공</x:v>
      </x:c>
    </x:row>
    <x:row r="28" ht="38" customHeight="1">
      <x:c r="A28" s="109" t="str">
        <x:v>AnalysisCreateRequest</x:v>
      </x:c>
      <x:c r="B28" s="41" t="str">
        <x:v>요청</x:v>
      </x:c>
      <x:c r="C28" s="41" t="str">
        <x:v>occupation</x:v>
      </x:c>
      <x:c r="D28" s="41" t="str">
        <x:v>occupation</x:v>
      </x:c>
      <x:c r="E28" s="41" t="str">
        <x:v>String</x:v>
      </x:c>
      <x:c r="F28" s="41" t="str">
        <x:v>Y</x:v>
      </x:c>
      <x:c r="G28" s="29" t="str">
        <x:v>1~100자</x:v>
      </x:c>
      <x:c r="H28" s="29" t="str">
        <x:v>Software Engineer</x:v>
      </x:c>
      <x:c r="I28" s="91" t="str">
        <x:v>현재 직업</x:v>
      </x:c>
    </x:row>
    <x:row r="29" ht="38" customHeight="1">
      <x:c r="A29" s="109" t="str">
        <x:v>AnalysisCreateRequest</x:v>
      </x:c>
      <x:c r="B29" s="41" t="str">
        <x:v>요청</x:v>
      </x:c>
      <x:c r="C29" s="41" t="str">
        <x:v>experienceYears</x:v>
      </x:c>
      <x:c r="D29" s="41" t="str">
        <x:v>experienceYears</x:v>
      </x:c>
      <x:c r="E29" s="41" t="str">
        <x:v>Integer</x:v>
      </x:c>
      <x:c r="F29" s="41" t="str">
        <x:v>Y</x:v>
      </x:c>
      <x:c r="G29" s="29" t="str">
        <x:v>0~40</x:v>
      </x:c>
      <x:c r="H29" s="29" t="n">
        <x:v>5</x:v>
      </x:c>
      <x:c r="I29" s="91" t="str">
        <x:v>관련 경력 연수</x:v>
      </x:c>
    </x:row>
    <x:row r="30" ht="38" customHeight="1">
      <x:c r="A30" s="109" t="str">
        <x:v>AnalysisCreateRequest</x:v>
      </x:c>
      <x:c r="B30" s="41" t="str">
        <x:v>요청</x:v>
      </x:c>
      <x:c r="C30" s="41" t="str">
        <x:v>languageTest</x:v>
      </x:c>
      <x:c r="D30" s="41" t="str">
        <x:v>languageTest</x:v>
      </x:c>
      <x:c r="E30" s="41" t="str">
        <x:v>Enum</x:v>
      </x:c>
      <x:c r="F30" s="41" t="str">
        <x:v>N</x:v>
      </x:c>
      <x:c r="G30" s="29" t="str">
        <x:v>LANGUAGE_TEST 코드</x:v>
      </x:c>
      <x:c r="H30" s="29" t="str">
        <x:v>IELTS_GENERAL</x:v>
      </x:c>
      <x:c r="I30" s="91" t="str">
        <x:v>언어 시험 종류</x:v>
      </x:c>
    </x:row>
    <x:row r="31" ht="38" customHeight="1">
      <x:c r="A31" s="109" t="str">
        <x:v>AnalysisCreateRequest</x:v>
      </x:c>
      <x:c r="B31" s="41" t="str">
        <x:v>요청</x:v>
      </x:c>
      <x:c r="C31" s="41" t="str">
        <x:v>languageScore</x:v>
      </x:c>
      <x:c r="D31" s="41" t="str">
        <x:v>languageScore</x:v>
      </x:c>
      <x:c r="E31" s="41" t="str">
        <x:v>Decimal</x:v>
      </x:c>
      <x:c r="F31" s="41" t="str">
        <x:v>N</x:v>
      </x:c>
      <x:c r="G31" s="29" t="str">
        <x:v>시험별 유효 범위</x:v>
      </x:c>
      <x:c r="H31" s="29" t="n">
        <x:v>7</x:v>
      </x:c>
      <x:c r="I31" s="91" t="str">
        <x:v>언어 점수</x:v>
      </x:c>
    </x:row>
    <x:row r="32" ht="38" customHeight="1">
      <x:c r="A32" s="109" t="str">
        <x:v>AnalysisCreateRequest</x:v>
      </x:c>
      <x:c r="B32" s="41" t="str">
        <x:v>요청</x:v>
      </x:c>
      <x:c r="C32" s="41" t="str">
        <x:v>careerText</x:v>
      </x:c>
      <x:c r="D32" s="41" t="str">
        <x:v>careerText</x:v>
      </x:c>
      <x:c r="E32" s="41" t="str">
        <x:v>String</x:v>
      </x:c>
      <x:c r="F32" s="41" t="str">
        <x:v>Y</x:v>
      </x:c>
      <x:c r="G32" s="29" t="str">
        <x:v>100~2000자 권장</x:v>
      </x:c>
      <x:c r="H32" s="29" t="str">
        <x:v>Spring Boot와 Vue 기반 시스템 개발 및 운영 경험</x:v>
      </x:c>
      <x:c r="I32" s="91" t="str">
        <x:v>직업 임베딩 입력 원문</x:v>
      </x:c>
    </x:row>
    <x:row r="33" ht="38" customHeight="1">
      <x:c r="A33" s="109" t="str">
        <x:v>AnalysisCreateRequest</x:v>
      </x:c>
      <x:c r="B33" s="41" t="str">
        <x:v>요청</x:v>
      </x:c>
      <x:c r="C33" s="41" t="str">
        <x:v>fundsRange</x:v>
      </x:c>
      <x:c r="D33" s="41" t="str">
        <x:v>fundsRange</x:v>
      </x:c>
      <x:c r="E33" s="41" t="str">
        <x:v>Enum</x:v>
      </x:c>
      <x:c r="F33" s="41" t="str">
        <x:v>Y</x:v>
      </x:c>
      <x:c r="G33" s="29" t="str">
        <x:v>FUND_RANGE 코드</x:v>
      </x:c>
      <x:c r="H33" s="29" t="str">
        <x:v>30M_50M</x:v>
      </x:c>
      <x:c r="I33" s="91" t="str">
        <x:v>보유 자금 구간</x:v>
      </x:c>
    </x:row>
    <x:row r="34" ht="38" customHeight="1">
      <x:c r="A34" s="109" t="str">
        <x:v>AnalysisCreateRequest</x:v>
      </x:c>
      <x:c r="B34" s="41" t="str">
        <x:v>요청</x:v>
      </x:c>
      <x:c r="C34" s="41" t="str">
        <x:v>familyAccompanied</x:v>
      </x:c>
      <x:c r="D34" s="41" t="str">
        <x:v>familyAccompanied</x:v>
      </x:c>
      <x:c r="E34" s="41" t="str">
        <x:v>Boolean</x:v>
      </x:c>
      <x:c r="F34" s="41" t="str">
        <x:v>Y</x:v>
      </x:c>
      <x:c r="G34" s="29" t="str">
        <x:v>true/false</x:v>
      </x:c>
      <x:c r="H34" s="106" t="b">
        <x:v>0</x:v>
      </x:c>
      <x:c r="I34" s="91" t="str">
        <x:v>가족 동반 여부</x:v>
      </x:c>
    </x:row>
    <x:row r="35" ht="38" customHeight="1">
      <x:c r="A35" s="109" t="str">
        <x:v>AnalysisCreateRequest</x:v>
      </x:c>
      <x:c r="B35" s="41" t="str">
        <x:v>요청</x:v>
      </x:c>
      <x:c r="C35" s="41" t="str">
        <x:v>preferredCountry</x:v>
      </x:c>
      <x:c r="D35" s="41" t="str">
        <x:v>preferredCountry</x:v>
      </x:c>
      <x:c r="E35" s="41" t="str">
        <x:v>Enum</x:v>
      </x:c>
      <x:c r="F35" s="41" t="str">
        <x:v>Y</x:v>
      </x:c>
      <x:c r="G35" s="29" t="str">
        <x:v>COUNTRY 코드</x:v>
      </x:c>
      <x:c r="H35" s="29" t="str">
        <x:v>ANY</x:v>
      </x:c>
      <x:c r="I35" s="91" t="str">
        <x:v>선호 국가</x:v>
      </x:c>
    </x:row>
    <x:row r="36" ht="38" customHeight="1">
      <x:c r="A36" s="109" t="str">
        <x:v>AnalysisCreateResponse</x:v>
      </x:c>
      <x:c r="B36" s="41" t="str">
        <x:v>응답</x:v>
      </x:c>
      <x:c r="C36" s="41" t="str">
        <x:v>analysisId</x:v>
      </x:c>
      <x:c r="D36" s="41" t="str">
        <x:v>analysisId</x:v>
      </x:c>
      <x:c r="E36" s="41" t="str">
        <x:v>Long</x:v>
      </x:c>
      <x:c r="F36" s="41" t="str">
        <x:v>Y</x:v>
      </x:c>
      <x:c r="G36" s="29" t="str">
        <x:v>-</x:v>
      </x:c>
      <x:c r="H36" s="29" t="n">
        <x:v>1001</x:v>
      </x:c>
      <x:c r="I36" s="91" t="str">
        <x:v>분석 ID</x:v>
      </x:c>
    </x:row>
    <x:row r="37" ht="38" customHeight="1">
      <x:c r="A37" s="109" t="str">
        <x:v>AnalysisCreateResponse</x:v>
      </x:c>
      <x:c r="B37" s="41" t="str">
        <x:v>응답</x:v>
      </x:c>
      <x:c r="C37" s="41" t="str">
        <x:v>status</x:v>
      </x:c>
      <x:c r="D37" s="41" t="str">
        <x:v>status</x:v>
      </x:c>
      <x:c r="E37" s="41" t="str">
        <x:v>Enum</x:v>
      </x:c>
      <x:c r="F37" s="41" t="str">
        <x:v>Y</x:v>
      </x:c>
      <x:c r="G37" s="29" t="str">
        <x:v>ANALYSIS_STATUS 코드</x:v>
      </x:c>
      <x:c r="H37" s="29" t="str">
        <x:v>PENDING</x:v>
      </x:c>
      <x:c r="I37" s="91" t="str">
        <x:v>분석 상태</x:v>
      </x:c>
    </x:row>
    <x:row r="38" ht="38" customHeight="1">
      <x:c r="A38" s="109" t="str">
        <x:v>AnalysisCreateResponse</x:v>
      </x:c>
      <x:c r="B38" s="41" t="str">
        <x:v>응답</x:v>
      </x:c>
      <x:c r="C38" s="41" t="str">
        <x:v>requestedAt</x:v>
      </x:c>
      <x:c r="D38" s="41" t="str">
        <x:v>requestedAt</x:v>
      </x:c>
      <x:c r="E38" s="41" t="str">
        <x:v>DateTime</x:v>
      </x:c>
      <x:c r="F38" s="41" t="str">
        <x:v>Y</x:v>
      </x:c>
      <x:c r="G38" s="29" t="str">
        <x:v>ISO-8601</x:v>
      </x:c>
      <x:c r="H38" s="29" t="n">
        <x:v>46220.46527777778</x:v>
      </x:c>
      <x:c r="I38" s="91" t="str">
        <x:v>요청일시</x:v>
      </x:c>
    </x:row>
    <x:row r="39" ht="38" customHeight="1">
      <x:c r="A39" s="109" t="str">
        <x:v>AnalysisDetailResponse</x:v>
      </x:c>
      <x:c r="B39" s="41" t="str">
        <x:v>응답</x:v>
      </x:c>
      <x:c r="C39" s="41" t="str">
        <x:v>analysisId</x:v>
      </x:c>
      <x:c r="D39" s="41" t="str">
        <x:v>analysisId</x:v>
      </x:c>
      <x:c r="E39" s="41" t="str">
        <x:v>Long</x:v>
      </x:c>
      <x:c r="F39" s="41" t="str">
        <x:v>Y</x:v>
      </x:c>
      <x:c r="G39" s="29" t="str">
        <x:v>-</x:v>
      </x:c>
      <x:c r="H39" s="29" t="n">
        <x:v>1001</x:v>
      </x:c>
      <x:c r="I39" s="91" t="str">
        <x:v>분석 ID</x:v>
      </x:c>
    </x:row>
    <x:row r="40" ht="38" customHeight="1">
      <x:c r="A40" s="109" t="str">
        <x:v>AnalysisDetailResponse</x:v>
      </x:c>
      <x:c r="B40" s="41" t="str">
        <x:v>응답</x:v>
      </x:c>
      <x:c r="C40" s="41" t="str">
        <x:v>status</x:v>
      </x:c>
      <x:c r="D40" s="41" t="str">
        <x:v>status</x:v>
      </x:c>
      <x:c r="E40" s="41" t="str">
        <x:v>Enum</x:v>
      </x:c>
      <x:c r="F40" s="41" t="str">
        <x:v>Y</x:v>
      </x:c>
      <x:c r="G40" s="29" t="str">
        <x:v>ANALYSIS_STATUS 코드</x:v>
      </x:c>
      <x:c r="H40" s="29" t="str">
        <x:v>COMPLETED</x:v>
      </x:c>
      <x:c r="I40" s="91" t="str">
        <x:v>분석 상태</x:v>
      </x:c>
    </x:row>
    <x:row r="41" ht="38" customHeight="1">
      <x:c r="A41" s="109" t="str">
        <x:v>AnalysisDetailResponse</x:v>
      </x:c>
      <x:c r="B41" s="41" t="str">
        <x:v>응답</x:v>
      </x:c>
      <x:c r="C41" s="41" t="str">
        <x:v>analyzedAt</x:v>
      </x:c>
      <x:c r="D41" s="41" t="str">
        <x:v>analyzedAt</x:v>
      </x:c>
      <x:c r="E41" s="41" t="str">
        <x:v>DateTime</x:v>
      </x:c>
      <x:c r="F41" s="41" t="str">
        <x:v>N</x:v>
      </x:c>
      <x:c r="G41" s="29" t="str">
        <x:v>완료 시 존재</x:v>
      </x:c>
      <x:c r="H41" s="29" t="n">
        <x:v>46220.46533564815</x:v>
      </x:c>
      <x:c r="I41" s="91" t="str">
        <x:v>분석 완료일시</x:v>
      </x:c>
    </x:row>
    <x:row r="42" ht="38" customHeight="1">
      <x:c r="A42" s="109" t="str">
        <x:v>AnalysisDetailResponse</x:v>
      </x:c>
      <x:c r="B42" s="41" t="str">
        <x:v>응답</x:v>
      </x:c>
      <x:c r="C42" s="41" t="str">
        <x:v>rank</x:v>
      </x:c>
      <x:c r="D42" s="41" t="str">
        <x:v>results[].rank</x:v>
      </x:c>
      <x:c r="E42" s="41" t="str">
        <x:v>Integer</x:v>
      </x:c>
      <x:c r="F42" s="41" t="str">
        <x:v>N</x:v>
      </x:c>
      <x:c r="G42" s="29" t="str">
        <x:v>1~3</x:v>
      </x:c>
      <x:c r="H42" s="29" t="n">
        <x:v>1</x:v>
      </x:c>
      <x:c r="I42" s="91" t="str">
        <x:v>국가 추천 순위</x:v>
      </x:c>
    </x:row>
    <x:row r="43" ht="38" customHeight="1">
      <x:c r="A43" s="109" t="str">
        <x:v>AnalysisDetailResponse</x:v>
      </x:c>
      <x:c r="B43" s="41" t="str">
        <x:v>응답</x:v>
      </x:c>
      <x:c r="C43" s="41" t="str">
        <x:v>countryCode</x:v>
      </x:c>
      <x:c r="D43" s="41" t="str">
        <x:v>results[].countryCode</x:v>
      </x:c>
      <x:c r="E43" s="41" t="str">
        <x:v>Enum</x:v>
      </x:c>
      <x:c r="F43" s="41" t="str">
        <x:v>N</x:v>
      </x:c>
      <x:c r="G43" s="29" t="str">
        <x:v>CAN/AUS/GBR</x:v>
      </x:c>
      <x:c r="H43" s="29" t="str">
        <x:v>CAN</x:v>
      </x:c>
      <x:c r="I43" s="91" t="str">
        <x:v>국가 코드</x:v>
      </x:c>
    </x:row>
    <x:row r="44" ht="38" customHeight="1">
      <x:c r="A44" s="109" t="str">
        <x:v>AnalysisDetailResponse</x:v>
      </x:c>
      <x:c r="B44" s="41" t="str">
        <x:v>응답</x:v>
      </x:c>
      <x:c r="C44" s="41" t="str">
        <x:v>countryName</x:v>
      </x:c>
      <x:c r="D44" s="41" t="str">
        <x:v>results[].countryName</x:v>
      </x:c>
      <x:c r="E44" s="41" t="str">
        <x:v>String</x:v>
      </x:c>
      <x:c r="F44" s="41" t="str">
        <x:v>N</x:v>
      </x:c>
      <x:c r="G44" s="29" t="str">
        <x:v>-</x:v>
      </x:c>
      <x:c r="H44" s="29" t="str">
        <x:v>캐나다</x:v>
      </x:c>
      <x:c r="I44" s="91" t="str">
        <x:v>국가명</x:v>
      </x:c>
    </x:row>
    <x:row r="45" ht="38" customHeight="1">
      <x:c r="A45" s="109" t="str">
        <x:v>AnalysisDetailResponse</x:v>
      </x:c>
      <x:c r="B45" s="41" t="str">
        <x:v>응답</x:v>
      </x:c>
      <x:c r="C45" s="41" t="str">
        <x:v>visaCode</x:v>
      </x:c>
      <x:c r="D45" s="41" t="str">
        <x:v>results[].visaCode</x:v>
      </x:c>
      <x:c r="E45" s="41" t="str">
        <x:v>String</x:v>
      </x:c>
      <x:c r="F45" s="41" t="str">
        <x:v>N</x:v>
      </x:c>
      <x:c r="G45" s="29" t="str">
        <x:v>-</x:v>
      </x:c>
      <x:c r="H45" s="29" t="str">
        <x:v>CA_EE_FSW</x:v>
      </x:c>
      <x:c r="I45" s="91" t="str">
        <x:v>대표 비자 코드</x:v>
      </x:c>
    </x:row>
    <x:row r="46" ht="38" customHeight="1">
      <x:c r="A46" s="109" t="str">
        <x:v>AnalysisDetailResponse</x:v>
      </x:c>
      <x:c r="B46" s="41" t="str">
        <x:v>응답</x:v>
      </x:c>
      <x:c r="C46" s="41" t="str">
        <x:v>visaName</x:v>
      </x:c>
      <x:c r="D46" s="41" t="str">
        <x:v>results[].visaName</x:v>
      </x:c>
      <x:c r="E46" s="41" t="str">
        <x:v>String</x:v>
      </x:c>
      <x:c r="F46" s="41" t="str">
        <x:v>N</x:v>
      </x:c>
      <x:c r="G46" s="29" t="str">
        <x:v>-</x:v>
      </x:c>
      <x:c r="H46" s="29" t="str">
        <x:v>Express Entry FSW</x:v>
      </x:c>
      <x:c r="I46" s="91" t="str">
        <x:v>대표 비자명</x:v>
      </x:c>
    </x:row>
    <x:row r="47" ht="38" customHeight="1">
      <x:c r="A47" s="109" t="str">
        <x:v>AnalysisDetailResponse</x:v>
      </x:c>
      <x:c r="B47" s="41" t="str">
        <x:v>응답</x:v>
      </x:c>
      <x:c r="C47" s="41" t="str">
        <x:v>totalScore</x:v>
      </x:c>
      <x:c r="D47" s="41" t="str">
        <x:v>results[].totalScore</x:v>
      </x:c>
      <x:c r="E47" s="41" t="str">
        <x:v>Decimal</x:v>
      </x:c>
      <x:c r="F47" s="41" t="str">
        <x:v>N</x:v>
      </x:c>
      <x:c r="G47" s="29" t="str">
        <x:v>0~100</x:v>
      </x:c>
      <x:c r="H47" s="29" t="n">
        <x:v>84.5</x:v>
      </x:c>
      <x:c r="I47" s="91" t="str">
        <x:v>내부 종합 적합도</x:v>
      </x:c>
    </x:row>
    <x:row r="48" ht="38" customHeight="1">
      <x:c r="A48" s="109" t="str">
        <x:v>AnalysisDetailResponse</x:v>
      </x:c>
      <x:c r="B48" s="41" t="str">
        <x:v>응답</x:v>
      </x:c>
      <x:c r="C48" s="41" t="str">
        <x:v>ruleScore</x:v>
      </x:c>
      <x:c r="D48" s="41" t="str">
        <x:v>results[].ruleScore</x:v>
      </x:c>
      <x:c r="E48" s="41" t="str">
        <x:v>Decimal</x:v>
      </x:c>
      <x:c r="F48" s="41" t="str">
        <x:v>N</x:v>
      </x:c>
      <x:c r="G48" s="29" t="str">
        <x:v>0~100</x:v>
      </x:c>
      <x:c r="H48" s="29" t="n">
        <x:v>82</x:v>
      </x:c>
      <x:c r="I48" s="91" t="str">
        <x:v>비자 규칙 점수</x:v>
      </x:c>
    </x:row>
    <x:row r="49" ht="38" customHeight="1">
      <x:c r="A49" s="109" t="str">
        <x:v>AnalysisDetailResponse</x:v>
      </x:c>
      <x:c r="B49" s="41" t="str">
        <x:v>응답</x:v>
      </x:c>
      <x:c r="C49" s="41" t="str">
        <x:v>environmentScore</x:v>
      </x:c>
      <x:c r="D49" s="41" t="str">
        <x:v>results[].environmentScore</x:v>
      </x:c>
      <x:c r="E49" s="41" t="str">
        <x:v>Decimal</x:v>
      </x:c>
      <x:c r="F49" s="41" t="str">
        <x:v>N</x:v>
      </x:c>
      <x:c r="G49" s="29" t="str">
        <x:v>0~100</x:v>
      </x:c>
      <x:c r="H49" s="29" t="n">
        <x:v>88</x:v>
      </x:c>
      <x:c r="I49" s="91" t="str">
        <x:v>국가 환경 점수</x:v>
      </x:c>
    </x:row>
    <x:row r="50" ht="38" customHeight="1">
      <x:c r="A50" s="109" t="str">
        <x:v>AnalysisDetailResponse</x:v>
      </x:c>
      <x:c r="B50" s="41" t="str">
        <x:v>응답</x:v>
      </x:c>
      <x:c r="C50" s="41" t="str">
        <x:v>careerSimilarity</x:v>
      </x:c>
      <x:c r="D50" s="41" t="str">
        <x:v>results[].careerSimilarity</x:v>
      </x:c>
      <x:c r="E50" s="41" t="str">
        <x:v>Decimal</x:v>
      </x:c>
      <x:c r="F50" s="41" t="str">
        <x:v>N</x:v>
      </x:c>
      <x:c r="G50" s="29" t="str">
        <x:v>0~100</x:v>
      </x:c>
      <x:c r="H50" s="29" t="n">
        <x:v>86</x:v>
      </x:c>
      <x:c r="I50" s="91" t="str">
        <x:v>경력·직업 유사도</x:v>
      </x:c>
    </x:row>
    <x:row r="51" ht="38" customHeight="1">
      <x:c r="A51" s="109" t="str">
        <x:v>AnalysisDetailResponse</x:v>
      </x:c>
      <x:c r="B51" s="41" t="str">
        <x:v>응답</x:v>
      </x:c>
      <x:c r="C51" s="41" t="str">
        <x:v>preferenceScore</x:v>
      </x:c>
      <x:c r="D51" s="41" t="str">
        <x:v>results[].preferenceScore</x:v>
      </x:c>
      <x:c r="E51" s="41" t="str">
        <x:v>Decimal</x:v>
      </x:c>
      <x:c r="F51" s="41" t="str">
        <x:v>N</x:v>
      </x:c>
      <x:c r="G51" s="29" t="str">
        <x:v>0~100</x:v>
      </x:c>
      <x:c r="H51" s="29" t="n">
        <x:v>80</x:v>
      </x:c>
      <x:c r="I51" s="91" t="str">
        <x:v>사용자 선호 점수</x:v>
      </x:c>
    </x:row>
    <x:row r="52" ht="38" customHeight="1">
      <x:c r="A52" s="109" t="str">
        <x:v>AnalysisDetailResponse</x:v>
      </x:c>
      <x:c r="B52" s="41" t="str">
        <x:v>응답</x:v>
      </x:c>
      <x:c r="C52" s="41" t="str">
        <x:v>ruleStatus</x:v>
      </x:c>
      <x:c r="D52" s="41" t="str">
        <x:v>results[].ruleStatus</x:v>
      </x:c>
      <x:c r="E52" s="41" t="str">
        <x:v>Enum</x:v>
      </x:c>
      <x:c r="F52" s="41" t="str">
        <x:v>N</x:v>
      </x:c>
      <x:c r="G52" s="29" t="str">
        <x:v>RULE_STATUS 코드</x:v>
      </x:c>
      <x:c r="H52" s="29" t="str">
        <x:v>NEEDS_IMPROVEMENT</x:v>
      </x:c>
      <x:c r="I52" s="91" t="str">
        <x:v>규칙 판정 상태</x:v>
      </x:c>
    </x:row>
    <x:row r="53" ht="38" customHeight="1">
      <x:c r="A53" s="109" t="str">
        <x:v>AnalysisDetailResponse</x:v>
      </x:c>
      <x:c r="B53" s="41" t="str">
        <x:v>응답</x:v>
      </x:c>
      <x:c r="C53" s="41" t="str">
        <x:v>strengths</x:v>
      </x:c>
      <x:c r="D53" s="41" t="str">
        <x:v>results[].strengths[]</x:v>
      </x:c>
      <x:c r="E53" s="41" t="str">
        <x:v>Array&lt;String&gt;</x:v>
      </x:c>
      <x:c r="F53" s="41" t="str">
        <x:v>N</x:v>
      </x:c>
      <x:c r="G53" s="29" t="str">
        <x:v>최대 5개</x:v>
      </x:c>
      <x:c r="H53" s="29" t="str">
        <x:v>관련 경력 5년</x:v>
      </x:c>
      <x:c r="I53" s="91" t="str">
        <x:v>강점 목록</x:v>
      </x:c>
    </x:row>
    <x:row r="54" ht="38" customHeight="1">
      <x:c r="A54" s="109" t="str">
        <x:v>AnalysisDetailResponse</x:v>
      </x:c>
      <x:c r="B54" s="41" t="str">
        <x:v>응답</x:v>
      </x:c>
      <x:c r="C54" s="41" t="str">
        <x:v>improvements</x:v>
      </x:c>
      <x:c r="D54" s="41" t="str">
        <x:v>results[].improvements[]</x:v>
      </x:c>
      <x:c r="E54" s="41" t="str">
        <x:v>Array&lt;String&gt;</x:v>
      </x:c>
      <x:c r="F54" s="41" t="str">
        <x:v>N</x:v>
      </x:c>
      <x:c r="G54" s="29" t="str">
        <x:v>최대 5개</x:v>
      </x:c>
      <x:c r="H54" s="29" t="str">
        <x:v>영어 점수 보완 필요</x:v>
      </x:c>
      <x:c r="I54" s="91" t="str">
        <x:v>보완점 목록</x:v>
      </x:c>
    </x:row>
    <x:row r="55" ht="38" customHeight="1">
      <x:c r="A55" s="109" t="str">
        <x:v>AnalysisDetailResponse</x:v>
      </x:c>
      <x:c r="B55" s="41" t="str">
        <x:v>응답</x:v>
      </x:c>
      <x:c r="C55" s="41" t="str">
        <x:v>occupationCode</x:v>
      </x:c>
      <x:c r="D55" s="41" t="str">
        <x:v>results[].matchedOccupation.code</x:v>
      </x:c>
      <x:c r="E55" s="41" t="str">
        <x:v>String</x:v>
      </x:c>
      <x:c r="F55" s="41" t="str">
        <x:v>N</x:v>
      </x:c>
      <x:c r="G55" s="29" t="str">
        <x:v>-</x:v>
      </x:c>
      <x:c r="H55" s="29" t="str">
        <x:v>21232</x:v>
      </x:c>
      <x:c r="I55" s="91" t="str">
        <x:v>매칭 직업 코드</x:v>
      </x:c>
    </x:row>
    <x:row r="56" ht="38" customHeight="1">
      <x:c r="A56" s="109" t="str">
        <x:v>AnalysisDetailResponse</x:v>
      </x:c>
      <x:c r="B56" s="41" t="str">
        <x:v>응답</x:v>
      </x:c>
      <x:c r="C56" s="41" t="str">
        <x:v>occupationTitle</x:v>
      </x:c>
      <x:c r="D56" s="41" t="str">
        <x:v>results[].matchedOccupation.title</x:v>
      </x:c>
      <x:c r="E56" s="41" t="str">
        <x:v>String</x:v>
      </x:c>
      <x:c r="F56" s="41" t="str">
        <x:v>N</x:v>
      </x:c>
      <x:c r="G56" s="29" t="str">
        <x:v>-</x:v>
      </x:c>
      <x:c r="H56" s="29" t="str">
        <x:v>Software developers and programmers</x:v>
      </x:c>
      <x:c r="I56" s="91" t="str">
        <x:v>매칭 직업명</x:v>
      </x:c>
    </x:row>
    <x:row r="57" ht="38" customHeight="1">
      <x:c r="A57" s="109" t="str">
        <x:v>AnalysisDetailResponse</x:v>
      </x:c>
      <x:c r="B57" s="41" t="str">
        <x:v>응답</x:v>
      </x:c>
      <x:c r="C57" s="41" t="str">
        <x:v>similarity</x:v>
      </x:c>
      <x:c r="D57" s="41" t="str">
        <x:v>results[].matchedOccupation.similarity</x:v>
      </x:c>
      <x:c r="E57" s="41" t="str">
        <x:v>Decimal</x:v>
      </x:c>
      <x:c r="F57" s="41" t="str">
        <x:v>N</x:v>
      </x:c>
      <x:c r="G57" s="29" t="str">
        <x:v>0~1</x:v>
      </x:c>
      <x:c r="H57" s="29" t="n">
        <x:v>0.87</x:v>
      </x:c>
      <x:c r="I57" s="91" t="str">
        <x:v>원본 코사인 유사도</x:v>
      </x:c>
    </x:row>
    <x:row r="58" ht="38" customHeight="1">
      <x:c r="A58" s="109" t="str">
        <x:v>AnalysisDetailResponse</x:v>
      </x:c>
      <x:c r="B58" s="41" t="str">
        <x:v>응답</x:v>
      </x:c>
      <x:c r="C58" s="41" t="str">
        <x:v>disclaimer</x:v>
      </x:c>
      <x:c r="D58" s="41" t="str">
        <x:v>disclaimer</x:v>
      </x:c>
      <x:c r="E58" s="41" t="str">
        <x:v>String</x:v>
      </x:c>
      <x:c r="F58" s="41" t="str">
        <x:v>Y</x:v>
      </x:c>
      <x:c r="G58" s="29" t="str">
        <x:v>-</x:v>
      </x:c>
      <x:c r="H58" s="29" t="str">
        <x:v>본 점수는 실제 비자 승인 확률이 아닙니다.</x:v>
      </x:c>
      <x:c r="I58" s="91" t="str">
        <x:v>면책 안내</x:v>
      </x:c>
    </x:row>
    <x:row r="59" ht="38" customHeight="1">
      <x:c r="A59" s="109" t="str">
        <x:v>AnalysisHistoryPageResponse</x:v>
      </x:c>
      <x:c r="B59" s="41" t="str">
        <x:v>응답</x:v>
      </x:c>
      <x:c r="C59" s="41" t="str">
        <x:v>page</x:v>
      </x:c>
      <x:c r="D59" s="41" t="str">
        <x:v>page</x:v>
      </x:c>
      <x:c r="E59" s="41" t="str">
        <x:v>Integer</x:v>
      </x:c>
      <x:c r="F59" s="41" t="str">
        <x:v>Y</x:v>
      </x:c>
      <x:c r="G59" s="29" t="str">
        <x:v>0 이상</x:v>
      </x:c>
      <x:c r="H59" s="29" t="n">
        <x:v>0</x:v>
      </x:c>
      <x:c r="I59" s="91" t="str">
        <x:v>현재 페이지</x:v>
      </x:c>
    </x:row>
    <x:row r="60" ht="38" customHeight="1">
      <x:c r="A60" s="109" t="str">
        <x:v>AnalysisHistoryPageResponse</x:v>
      </x:c>
      <x:c r="B60" s="41" t="str">
        <x:v>응답</x:v>
      </x:c>
      <x:c r="C60" s="41" t="str">
        <x:v>size</x:v>
      </x:c>
      <x:c r="D60" s="41" t="str">
        <x:v>size</x:v>
      </x:c>
      <x:c r="E60" s="41" t="str">
        <x:v>Integer</x:v>
      </x:c>
      <x:c r="F60" s="41" t="str">
        <x:v>Y</x:v>
      </x:c>
      <x:c r="G60" s="29" t="str">
        <x:v>1~100</x:v>
      </x:c>
      <x:c r="H60" s="29" t="n">
        <x:v>10</x:v>
      </x:c>
      <x:c r="I60" s="91" t="str">
        <x:v>페이지 크기</x:v>
      </x:c>
    </x:row>
    <x:row r="61" ht="38" customHeight="1">
      <x:c r="A61" s="109" t="str">
        <x:v>AnalysisHistoryPageResponse</x:v>
      </x:c>
      <x:c r="B61" s="41" t="str">
        <x:v>응답</x:v>
      </x:c>
      <x:c r="C61" s="41" t="str">
        <x:v>totalElements</x:v>
      </x:c>
      <x:c r="D61" s="41" t="str">
        <x:v>totalElements</x:v>
      </x:c>
      <x:c r="E61" s="41" t="str">
        <x:v>Long</x:v>
      </x:c>
      <x:c r="F61" s="41" t="str">
        <x:v>Y</x:v>
      </x:c>
      <x:c r="G61" s="29" t="str">
        <x:v>0 이상</x:v>
      </x:c>
      <x:c r="H61" s="29" t="n">
        <x:v>5</x:v>
      </x:c>
      <x:c r="I61" s="91" t="str">
        <x:v>전체 건수</x:v>
      </x:c>
    </x:row>
    <x:row r="62" ht="38" customHeight="1">
      <x:c r="A62" s="109" t="str">
        <x:v>AnalysisHistoryPageResponse</x:v>
      </x:c>
      <x:c r="B62" s="41" t="str">
        <x:v>응답</x:v>
      </x:c>
      <x:c r="C62" s="41" t="str">
        <x:v>analysisId</x:v>
      </x:c>
      <x:c r="D62" s="41" t="str">
        <x:v>items[].analysisId</x:v>
      </x:c>
      <x:c r="E62" s="41" t="str">
        <x:v>Long</x:v>
      </x:c>
      <x:c r="F62" s="41" t="str">
        <x:v>Y</x:v>
      </x:c>
      <x:c r="G62" s="29" t="str">
        <x:v>-</x:v>
      </x:c>
      <x:c r="H62" s="29" t="n">
        <x:v>1001</x:v>
      </x:c>
      <x:c r="I62" s="91" t="str">
        <x:v>분석 ID</x:v>
      </x:c>
    </x:row>
    <x:row r="63" ht="38" customHeight="1">
      <x:c r="A63" s="109" t="str">
        <x:v>AnalysisHistoryPageResponse</x:v>
      </x:c>
      <x:c r="B63" s="41" t="str">
        <x:v>응답</x:v>
      </x:c>
      <x:c r="C63" s="41" t="str">
        <x:v>topCountryCode</x:v>
      </x:c>
      <x:c r="D63" s="41" t="str">
        <x:v>items[].topCountryCode</x:v>
      </x:c>
      <x:c r="E63" s="41" t="str">
        <x:v>Enum</x:v>
      </x:c>
      <x:c r="F63" s="41" t="str">
        <x:v>Y</x:v>
      </x:c>
      <x:c r="G63" s="29" t="str">
        <x:v>CAN/AUS/GBR</x:v>
      </x:c>
      <x:c r="H63" s="29" t="str">
        <x:v>CAN</x:v>
      </x:c>
      <x:c r="I63" s="91" t="str">
        <x:v>1순위 국가</x:v>
      </x:c>
    </x:row>
    <x:row r="64" ht="38" customHeight="1">
      <x:c r="A64" s="109" t="str">
        <x:v>AnalysisHistoryPageResponse</x:v>
      </x:c>
      <x:c r="B64" s="41" t="str">
        <x:v>응답</x:v>
      </x:c>
      <x:c r="C64" s="41" t="str">
        <x:v>topVisaName</x:v>
      </x:c>
      <x:c r="D64" s="41" t="str">
        <x:v>items[].topVisaName</x:v>
      </x:c>
      <x:c r="E64" s="41" t="str">
        <x:v>String</x:v>
      </x:c>
      <x:c r="F64" s="41" t="str">
        <x:v>Y</x:v>
      </x:c>
      <x:c r="G64" s="29" t="str">
        <x:v>-</x:v>
      </x:c>
      <x:c r="H64" s="29" t="str">
        <x:v>Express Entry FSW</x:v>
      </x:c>
      <x:c r="I64" s="91" t="str">
        <x:v>대표 비자</x:v>
      </x:c>
    </x:row>
    <x:row r="65" ht="38" customHeight="1">
      <x:c r="A65" s="109" t="str">
        <x:v>AnalysisHistoryPageResponse</x:v>
      </x:c>
      <x:c r="B65" s="41" t="str">
        <x:v>응답</x:v>
      </x:c>
      <x:c r="C65" s="41" t="str">
        <x:v>topScore</x:v>
      </x:c>
      <x:c r="D65" s="41" t="str">
        <x:v>items[].topScore</x:v>
      </x:c>
      <x:c r="E65" s="41" t="str">
        <x:v>Decimal</x:v>
      </x:c>
      <x:c r="F65" s="41" t="str">
        <x:v>Y</x:v>
      </x:c>
      <x:c r="G65" s="29" t="str">
        <x:v>0~100</x:v>
      </x:c>
      <x:c r="H65" s="29" t="n">
        <x:v>84.5</x:v>
      </x:c>
      <x:c r="I65" s="91" t="str">
        <x:v>1순위 점수</x:v>
      </x:c>
    </x:row>
    <x:row r="66" ht="38" customHeight="1">
      <x:c r="A66" s="109" t="str">
        <x:v>AnalysisHistoryPageResponse</x:v>
      </x:c>
      <x:c r="B66" s="41" t="str">
        <x:v>응답</x:v>
      </x:c>
      <x:c r="C66" s="41" t="str">
        <x:v>analyzedAt</x:v>
      </x:c>
      <x:c r="D66" s="41" t="str">
        <x:v>items[].analyzedAt</x:v>
      </x:c>
      <x:c r="E66" s="41" t="str">
        <x:v>DateTime</x:v>
      </x:c>
      <x:c r="F66" s="41" t="str">
        <x:v>Y</x:v>
      </x:c>
      <x:c r="G66" s="29" t="str">
        <x:v>ISO-8601</x:v>
      </x:c>
      <x:c r="H66" s="29" t="n">
        <x:v>46220.46533564815</x:v>
      </x:c>
      <x:c r="I66" s="91" t="str">
        <x:v>분석일시</x:v>
      </x:c>
    </x:row>
    <x:row r="67" ht="38" customHeight="1">
      <x:c r="A67" s="109" t="str">
        <x:v>ChatQuestionRequest</x:v>
      </x:c>
      <x:c r="B67" s="41" t="str">
        <x:v>요청</x:v>
      </x:c>
      <x:c r="C67" s="41" t="str">
        <x:v>sessionId</x:v>
      </x:c>
      <x:c r="D67" s="41" t="str">
        <x:v>sessionId</x:v>
      </x:c>
      <x:c r="E67" s="41" t="str">
        <x:v>Long</x:v>
      </x:c>
      <x:c r="F67" s="41" t="str">
        <x:v>N</x:v>
      </x:c>
      <x:c r="G67" s="29" t="str">
        <x:v>없으면 신규 세션</x:v>
      </x:c>
      <x:c r="H67" s="29" t="n">
        <x:v>501</x:v>
      </x:c>
      <x:c r="I67" s="91" t="str">
        <x:v>상담 세션 ID</x:v>
      </x:c>
    </x:row>
    <x:row r="68" ht="38" customHeight="1">
      <x:c r="A68" s="109" t="str">
        <x:v>ChatQuestionRequest</x:v>
      </x:c>
      <x:c r="B68" s="41" t="str">
        <x:v>요청</x:v>
      </x:c>
      <x:c r="C68" s="41" t="str">
        <x:v>question</x:v>
      </x:c>
      <x:c r="D68" s="41" t="str">
        <x:v>question</x:v>
      </x:c>
      <x:c r="E68" s="41" t="str">
        <x:v>String</x:v>
      </x:c>
      <x:c r="F68" s="41" t="str">
        <x:v>Y</x:v>
      </x:c>
      <x:c r="G68" s="29" t="str">
        <x:v>2~1000자</x:v>
      </x:c>
      <x:c r="H68" s="29" t="str">
        <x:v>캐나다 FSW에 필요한 서류가 뭐야?</x:v>
      </x:c>
      <x:c r="I68" s="91" t="str">
        <x:v>사용자 질문</x:v>
      </x:c>
    </x:row>
    <x:row r="69" ht="38" customHeight="1">
      <x:c r="A69" s="109" t="str">
        <x:v>ChatQuestionRequest</x:v>
      </x:c>
      <x:c r="B69" s="41" t="str">
        <x:v>요청</x:v>
      </x:c>
      <x:c r="C69" s="41" t="str">
        <x:v>countryCode</x:v>
      </x:c>
      <x:c r="D69" s="41" t="str">
        <x:v>countryCode</x:v>
      </x:c>
      <x:c r="E69" s="41" t="str">
        <x:v>Enum</x:v>
      </x:c>
      <x:c r="F69" s="41" t="str">
        <x:v>Y</x:v>
      </x:c>
      <x:c r="G69" s="29" t="str">
        <x:v>CAN/AUS/GBR</x:v>
      </x:c>
      <x:c r="H69" s="29" t="str">
        <x:v>CAN</x:v>
      </x:c>
      <x:c r="I69" s="91" t="str">
        <x:v>검색 대상 국가</x:v>
      </x:c>
    </x:row>
    <x:row r="70" ht="38" customHeight="1">
      <x:c r="A70" s="109" t="str">
        <x:v>ChatQuestionRequest</x:v>
      </x:c>
      <x:c r="B70" s="41" t="str">
        <x:v>요청</x:v>
      </x:c>
      <x:c r="C70" s="41" t="str">
        <x:v>visaCode</x:v>
      </x:c>
      <x:c r="D70" s="41" t="str">
        <x:v>visaCode</x:v>
      </x:c>
      <x:c r="E70" s="41" t="str">
        <x:v>String</x:v>
      </x:c>
      <x:c r="F70" s="41" t="str">
        <x:v>Y</x:v>
      </x:c>
      <x:c r="G70" s="29" t="str">
        <x:v>지원 비자 코드</x:v>
      </x:c>
      <x:c r="H70" s="29" t="str">
        <x:v>CA_EE_FSW</x:v>
      </x:c>
      <x:c r="I70" s="91" t="str">
        <x:v>검색 대상 비자</x:v>
      </x:c>
    </x:row>
    <x:row r="71" ht="38" customHeight="1">
      <x:c r="A71" s="109" t="str">
        <x:v>ChatQuestionRequest</x:v>
      </x:c>
      <x:c r="B71" s="41" t="str">
        <x:v>요청</x:v>
      </x:c>
      <x:c r="C71" s="41" t="str">
        <x:v>analysisId</x:v>
      </x:c>
      <x:c r="D71" s="41" t="str">
        <x:v>analysisId</x:v>
      </x:c>
      <x:c r="E71" s="41" t="str">
        <x:v>Long</x:v>
      </x:c>
      <x:c r="F71" s="41" t="str">
        <x:v>N</x:v>
      </x:c>
      <x:c r="G71" s="29" t="str">
        <x:v>본인 분석 ID</x:v>
      </x:c>
      <x:c r="H71" s="29" t="n">
        <x:v>1001</x:v>
      </x:c>
      <x:c r="I71" s="91" t="str">
        <x:v>결과 컨텍스트 연결용</x:v>
      </x:c>
    </x:row>
    <x:row r="72" ht="38" customHeight="1">
      <x:c r="A72" s="109" t="str">
        <x:v>ChatAnswerResponse</x:v>
      </x:c>
      <x:c r="B72" s="41" t="str">
        <x:v>응답</x:v>
      </x:c>
      <x:c r="C72" s="41" t="str">
        <x:v>sessionId</x:v>
      </x:c>
      <x:c r="D72" s="41" t="str">
        <x:v>sessionId</x:v>
      </x:c>
      <x:c r="E72" s="41" t="str">
        <x:v>Long</x:v>
      </x:c>
      <x:c r="F72" s="41" t="str">
        <x:v>Y</x:v>
      </x:c>
      <x:c r="G72" s="29" t="str">
        <x:v>-</x:v>
      </x:c>
      <x:c r="H72" s="29" t="n">
        <x:v>501</x:v>
      </x:c>
      <x:c r="I72" s="91" t="str">
        <x:v>상담 세션 ID</x:v>
      </x:c>
    </x:row>
    <x:row r="73" ht="38" customHeight="1">
      <x:c r="A73" s="109" t="str">
        <x:v>ChatAnswerResponse</x:v>
      </x:c>
      <x:c r="B73" s="41" t="str">
        <x:v>응답</x:v>
      </x:c>
      <x:c r="C73" s="41" t="str">
        <x:v>messageId</x:v>
      </x:c>
      <x:c r="D73" s="41" t="str">
        <x:v>messageId</x:v>
      </x:c>
      <x:c r="E73" s="41" t="str">
        <x:v>Long</x:v>
      </x:c>
      <x:c r="F73" s="41" t="str">
        <x:v>Y</x:v>
      </x:c>
      <x:c r="G73" s="29" t="str">
        <x:v>-</x:v>
      </x:c>
      <x:c r="H73" s="29" t="n">
        <x:v>9001</x:v>
      </x:c>
      <x:c r="I73" s="91" t="str">
        <x:v>AI 답변 메시지 ID</x:v>
      </x:c>
    </x:row>
    <x:row r="74" ht="38" customHeight="1">
      <x:c r="A74" s="109" t="str">
        <x:v>ChatAnswerResponse</x:v>
      </x:c>
      <x:c r="B74" s="41" t="str">
        <x:v>응답</x:v>
      </x:c>
      <x:c r="C74" s="41" t="str">
        <x:v>answer</x:v>
      </x:c>
      <x:c r="D74" s="41" t="str">
        <x:v>answer</x:v>
      </x:c>
      <x:c r="E74" s="41" t="str">
        <x:v>String</x:v>
      </x:c>
      <x:c r="F74" s="41" t="str">
        <x:v>Y</x:v>
      </x:c>
      <x:c r="G74" s="29" t="str">
        <x:v>-</x:v>
      </x:c>
      <x:c r="H74" s="29" t="str">
        <x:v>일반적으로 여권, 언어시험 결과, ECA 등이 필요합니다.</x:v>
      </x:c>
      <x:c r="I74" s="91" t="str">
        <x:v>RAG 기반 답변</x:v>
      </x:c>
    </x:row>
    <x:row r="75" ht="38" customHeight="1">
      <x:c r="A75" s="109" t="str">
        <x:v>ChatAnswerResponse</x:v>
      </x:c>
      <x:c r="B75" s="41" t="str">
        <x:v>응답</x:v>
      </x:c>
      <x:c r="C75" s="41" t="str">
        <x:v>answerable</x:v>
      </x:c>
      <x:c r="D75" s="41" t="str">
        <x:v>answerable</x:v>
      </x:c>
      <x:c r="E75" s="41" t="str">
        <x:v>Boolean</x:v>
      </x:c>
      <x:c r="F75" s="41" t="str">
        <x:v>Y</x:v>
      </x:c>
      <x:c r="G75" s="29" t="str">
        <x:v>-</x:v>
      </x:c>
      <x:c r="H75" s="106" t="b">
        <x:v>1</x:v>
      </x:c>
      <x:c r="I75" s="91" t="str">
        <x:v>근거 문서 기반 답변 가능 여부</x:v>
      </x:c>
    </x:row>
    <x:row r="76" ht="38" customHeight="1">
      <x:c r="A76" s="109" t="str">
        <x:v>ChatAnswerResponse</x:v>
      </x:c>
      <x:c r="B76" s="41" t="str">
        <x:v>응답</x:v>
      </x:c>
      <x:c r="C76" s="41" t="str">
        <x:v>sourceTitle</x:v>
      </x:c>
      <x:c r="D76" s="41" t="str">
        <x:v>sources[].title</x:v>
      </x:c>
      <x:c r="E76" s="41" t="str">
        <x:v>String</x:v>
      </x:c>
      <x:c r="F76" s="41" t="str">
        <x:v>N</x:v>
      </x:c>
      <x:c r="G76" s="29" t="str">
        <x:v>-</x:v>
      </x:c>
      <x:c r="H76" s="29" t="str">
        <x:v>Express Entry 준비 서류</x:v>
      </x:c>
      <x:c r="I76" s="91" t="str">
        <x:v>공식 문서 제목</x:v>
      </x:c>
    </x:row>
    <x:row r="77" ht="38" customHeight="1">
      <x:c r="A77" s="109" t="str">
        <x:v>ChatAnswerResponse</x:v>
      </x:c>
      <x:c r="B77" s="41" t="str">
        <x:v>응답</x:v>
      </x:c>
      <x:c r="C77" s="41" t="str">
        <x:v>sourceUrl</x:v>
      </x:c>
      <x:c r="D77" s="41" t="str">
        <x:v>sources[].url</x:v>
      </x:c>
      <x:c r="E77" s="41" t="str">
        <x:v>String</x:v>
      </x:c>
      <x:c r="F77" s="41" t="str">
        <x:v>N</x:v>
      </x:c>
      <x:c r="G77" s="29" t="str">
        <x:v>HTTPS URL</x:v>
      </x:c>
      <x:c r="H77" s="29" t="str">
        <x:v>https://www.canada.ca/...</x:v>
      </x:c>
      <x:c r="I77" s="91" t="str">
        <x:v>공식 출처 URL</x:v>
      </x:c>
    </x:row>
    <x:row r="78" ht="38" customHeight="1">
      <x:c r="A78" s="109" t="str">
        <x:v>ChatAnswerResponse</x:v>
      </x:c>
      <x:c r="B78" s="41" t="str">
        <x:v>응답</x:v>
      </x:c>
      <x:c r="C78" s="41" t="str">
        <x:v>verifiedAt</x:v>
      </x:c>
      <x:c r="D78" s="41" t="str">
        <x:v>sources[].verifiedAt</x:v>
      </x:c>
      <x:c r="E78" s="41" t="str">
        <x:v>Date</x:v>
      </x:c>
      <x:c r="F78" s="41" t="str">
        <x:v>N</x:v>
      </x:c>
      <x:c r="G78" s="29" t="str">
        <x:v>yyyy-MM-dd</x:v>
      </x:c>
      <x:c r="H78" s="29" t="str">
        <x:v>2026-07-17</x:v>
      </x:c>
      <x:c r="I78" s="91" t="str">
        <x:v>정보 검증일</x:v>
      </x:c>
    </x:row>
    <x:row r="79" ht="38" customHeight="1">
      <x:c r="A79" s="109" t="str">
        <x:v>ChatAnswerResponse</x:v>
      </x:c>
      <x:c r="B79" s="41" t="str">
        <x:v>응답</x:v>
      </x:c>
      <x:c r="C79" s="41" t="str">
        <x:v>disclaimer</x:v>
      </x:c>
      <x:c r="D79" s="41" t="str">
        <x:v>disclaimer</x:v>
      </x:c>
      <x:c r="E79" s="41" t="str">
        <x:v>String</x:v>
      </x:c>
      <x:c r="F79" s="41" t="str">
        <x:v>Y</x:v>
      </x:c>
      <x:c r="G79" s="29" t="str">
        <x:v>-</x:v>
      </x:c>
      <x:c r="H79" s="29" t="str">
        <x:v>본 답변은 법률 자문이 아닙니다.</x:v>
      </x:c>
      <x:c r="I79" s="91" t="str">
        <x:v>면책 안내</x:v>
      </x:c>
    </x:row>
    <x:row r="80" ht="38" customHeight="1">
      <x:c r="A80" s="109" t="str">
        <x:v>AiRecommendRequest</x:v>
      </x:c>
      <x:c r="B80" s="41" t="str">
        <x:v>요청</x:v>
      </x:c>
      <x:c r="C80" s="41" t="str">
        <x:v>analysisId</x:v>
      </x:c>
      <x:c r="D80" s="41" t="str">
        <x:v>analysisId</x:v>
      </x:c>
      <x:c r="E80" s="41" t="str">
        <x:v>Long</x:v>
      </x:c>
      <x:c r="F80" s="41" t="str">
        <x:v>Y</x:v>
      </x:c>
      <x:c r="G80" s="29" t="str">
        <x:v>-</x:v>
      </x:c>
      <x:c r="H80" s="29" t="n">
        <x:v>1001</x:v>
      </x:c>
      <x:c r="I80" s="91" t="str">
        <x:v>분석 추적 ID</x:v>
      </x:c>
    </x:row>
    <x:row r="81" ht="38" customHeight="1">
      <x:c r="A81" s="109" t="str">
        <x:v>AiRecommendRequest</x:v>
      </x:c>
      <x:c r="B81" s="41" t="str">
        <x:v>요청</x:v>
      </x:c>
      <x:c r="C81" s="41" t="str">
        <x:v>userProfile</x:v>
      </x:c>
      <x:c r="D81" s="41" t="str">
        <x:v>userProfile</x:v>
      </x:c>
      <x:c r="E81" s="41" t="str">
        <x:v>Object</x:v>
      </x:c>
      <x:c r="F81" s="41" t="str">
        <x:v>Y</x:v>
      </x:c>
      <x:c r="G81" s="29" t="str">
        <x:v>AnalysisCreateRequest와 동일</x:v>
      </x:c>
      <x:c r="H81" s="29" t="str">
        <x:v>{...}</x:v>
      </x:c>
      <x:c r="I81" s="91" t="str">
        <x:v>분석 입력</x:v>
      </x:c>
    </x:row>
    <x:row r="82" ht="38" customHeight="1">
      <x:c r="A82" s="109" t="str">
        <x:v>AiRecommendRequest</x:v>
      </x:c>
      <x:c r="B82" s="41" t="str">
        <x:v>요청</x:v>
      </x:c>
      <x:c r="C82" s="41" t="str">
        <x:v>supportedCountries</x:v>
      </x:c>
      <x:c r="D82" s="41" t="str">
        <x:v>supportedCountries[]</x:v>
      </x:c>
      <x:c r="E82" s="41" t="str">
        <x:v>Array&lt;Enum&gt;</x:v>
      </x:c>
      <x:c r="F82" s="41" t="str">
        <x:v>Y</x:v>
      </x:c>
      <x:c r="G82" s="29" t="str">
        <x:v>CAN/AUS/GBR</x:v>
      </x:c>
      <x:c r="H82" s="29" t="str">
        <x:v>CAN,AUS,GBR</x:v>
      </x:c>
      <x:c r="I82" s="91" t="str">
        <x:v>분석 대상 국가</x:v>
      </x:c>
    </x:row>
    <x:row r="83" ht="38" customHeight="1">
      <x:c r="A83" s="109" t="str">
        <x:v>AiRecommendResponse</x:v>
      </x:c>
      <x:c r="B83" s="41" t="str">
        <x:v>응답</x:v>
      </x:c>
      <x:c r="C83" s="41" t="str">
        <x:v>modelVersion</x:v>
      </x:c>
      <x:c r="D83" s="41" t="str">
        <x:v>modelVersion</x:v>
      </x:c>
      <x:c r="E83" s="41" t="str">
        <x:v>String</x:v>
      </x:c>
      <x:c r="F83" s="41" t="str">
        <x:v>Y</x:v>
      </x:c>
      <x:c r="G83" s="29" t="str">
        <x:v>-</x:v>
      </x:c>
      <x:c r="H83" s="29" t="str">
        <x:v>environment-kmeans-1.0.0</x:v>
      </x:c>
      <x:c r="I83" s="91" t="str">
        <x:v>모델 버전</x:v>
      </x:c>
    </x:row>
    <x:row r="84" ht="38" customHeight="1">
      <x:c r="A84" s="109" t="str">
        <x:v>AiRecommendResponse</x:v>
      </x:c>
      <x:c r="B84" s="41" t="str">
        <x:v>응답</x:v>
      </x:c>
      <x:c r="C84" s="41" t="str">
        <x:v>dataVersion</x:v>
      </x:c>
      <x:c r="D84" s="41" t="str">
        <x:v>dataVersion</x:v>
      </x:c>
      <x:c r="E84" s="41" t="str">
        <x:v>String</x:v>
      </x:c>
      <x:c r="F84" s="41" t="str">
        <x:v>Y</x:v>
      </x:c>
      <x:c r="G84" s="29" t="str">
        <x:v>-</x:v>
      </x:c>
      <x:c r="H84" s="29" t="str">
        <x:v>2026-07-17</x:v>
      </x:c>
      <x:c r="I84" s="91" t="str">
        <x:v>데이터 기준 버전</x:v>
      </x:c>
    </x:row>
    <x:row r="85" ht="38" customHeight="1">
      <x:c r="A85" s="109" t="str">
        <x:v>AiRecommendResponse</x:v>
      </x:c>
      <x:c r="B85" s="41" t="str">
        <x:v>응답</x:v>
      </x:c>
      <x:c r="C85" s="41" t="str">
        <x:v>results</x:v>
      </x:c>
      <x:c r="D85" s="41" t="str">
        <x:v>results[]</x:v>
      </x:c>
      <x:c r="E85" s="41" t="str">
        <x:v>Array&lt;Object&gt;</x:v>
      </x:c>
      <x:c r="F85" s="41" t="str">
        <x:v>Y</x:v>
      </x:c>
      <x:c r="G85" s="29" t="str">
        <x:v>3개 국가</x:v>
      </x:c>
      <x:c r="H85" s="29" t="str">
        <x:v>[...]</x:v>
      </x:c>
      <x:c r="I85" s="91" t="str">
        <x:v>국가별 분석 결과</x:v>
      </x:c>
    </x:row>
    <x:row r="86" ht="38" customHeight="1">
      <x:c r="A86" s="109" t="str">
        <x:v>AiRagRequest</x:v>
      </x:c>
      <x:c r="B86" s="41" t="str">
        <x:v>요청</x:v>
      </x:c>
      <x:c r="C86" s="41" t="str">
        <x:v>question</x:v>
      </x:c>
      <x:c r="D86" s="41" t="str">
        <x:v>question</x:v>
      </x:c>
      <x:c r="E86" s="41" t="str">
        <x:v>String</x:v>
      </x:c>
      <x:c r="F86" s="41" t="str">
        <x:v>Y</x:v>
      </x:c>
      <x:c r="G86" s="29" t="str">
        <x:v>2~1000자</x:v>
      </x:c>
      <x:c r="H86" s="29" t="str">
        <x:v>캐나다 FSW 서류는?</x:v>
      </x:c>
      <x:c r="I86" s="91" t="str">
        <x:v>사용자 질문</x:v>
      </x:c>
    </x:row>
    <x:row r="87" ht="38" customHeight="1">
      <x:c r="A87" s="109" t="str">
        <x:v>AiRagRequest</x:v>
      </x:c>
      <x:c r="B87" s="41" t="str">
        <x:v>요청</x:v>
      </x:c>
      <x:c r="C87" s="41" t="str">
        <x:v>countryCode</x:v>
      </x:c>
      <x:c r="D87" s="41" t="str">
        <x:v>countryCode</x:v>
      </x:c>
      <x:c r="E87" s="41" t="str">
        <x:v>Enum</x:v>
      </x:c>
      <x:c r="F87" s="41" t="str">
        <x:v>Y</x:v>
      </x:c>
      <x:c r="G87" s="29" t="str">
        <x:v>CAN/AUS/GBR</x:v>
      </x:c>
      <x:c r="H87" s="29" t="str">
        <x:v>CAN</x:v>
      </x:c>
      <x:c r="I87" s="91" t="str">
        <x:v>국가 필터</x:v>
      </x:c>
    </x:row>
    <x:row r="88" ht="38" customHeight="1">
      <x:c r="A88" s="109" t="str">
        <x:v>AiRagRequest</x:v>
      </x:c>
      <x:c r="B88" s="41" t="str">
        <x:v>요청</x:v>
      </x:c>
      <x:c r="C88" s="41" t="str">
        <x:v>visaCode</x:v>
      </x:c>
      <x:c r="D88" s="41" t="str">
        <x:v>visaCode</x:v>
      </x:c>
      <x:c r="E88" s="41" t="str">
        <x:v>String</x:v>
      </x:c>
      <x:c r="F88" s="41" t="str">
        <x:v>Y</x:v>
      </x:c>
      <x:c r="G88" s="29" t="str">
        <x:v>-</x:v>
      </x:c>
      <x:c r="H88" s="29" t="str">
        <x:v>CA_EE_FSW</x:v>
      </x:c>
      <x:c r="I88" s="91" t="str">
        <x:v>비자 필터</x:v>
      </x:c>
    </x:row>
    <x:row r="89" ht="38" customHeight="1">
      <x:c r="A89" s="109" t="str">
        <x:v>AiRagRequest</x:v>
      </x:c>
      <x:c r="B89" s="41" t="str">
        <x:v>요청</x:v>
      </x:c>
      <x:c r="C89" s="41" t="str">
        <x:v>topK</x:v>
      </x:c>
      <x:c r="D89" s="41" t="str">
        <x:v>topK</x:v>
      </x:c>
      <x:c r="E89" s="41" t="str">
        <x:v>Integer</x:v>
      </x:c>
      <x:c r="F89" s="41" t="str">
        <x:v>N</x:v>
      </x:c>
      <x:c r="G89" s="29" t="str">
        <x:v>1~10, 기본 5</x:v>
      </x:c>
      <x:c r="H89" s="29" t="n">
        <x:v>5</x:v>
      </x:c>
      <x:c r="I89" s="91" t="str">
        <x:v>검색 청크 수</x:v>
      </x:c>
    </x:row>
    <x:row r="90" ht="38" customHeight="1">
      <x:c r="A90" s="109" t="str">
        <x:v>AiRagResponse</x:v>
      </x:c>
      <x:c r="B90" s="41" t="str">
        <x:v>응답</x:v>
      </x:c>
      <x:c r="C90" s="41" t="str">
        <x:v>answer</x:v>
      </x:c>
      <x:c r="D90" s="41" t="str">
        <x:v>answer</x:v>
      </x:c>
      <x:c r="E90" s="41" t="str">
        <x:v>String</x:v>
      </x:c>
      <x:c r="F90" s="41" t="str">
        <x:v>Y</x:v>
      </x:c>
      <x:c r="G90" s="29" t="str">
        <x:v>-</x:v>
      </x:c>
      <x:c r="H90" s="29" t="str">
        <x:v>공식 문서에 따르면...</x:v>
      </x:c>
      <x:c r="I90" s="91" t="str">
        <x:v>생성 답변</x:v>
      </x:c>
    </x:row>
    <x:row r="91" ht="38" customHeight="1">
      <x:c r="A91" s="109" t="str">
        <x:v>AiRagResponse</x:v>
      </x:c>
      <x:c r="B91" s="41" t="str">
        <x:v>응답</x:v>
      </x:c>
      <x:c r="C91" s="41" t="str">
        <x:v>answerable</x:v>
      </x:c>
      <x:c r="D91" s="41" t="str">
        <x:v>answerable</x:v>
      </x:c>
      <x:c r="E91" s="41" t="str">
        <x:v>Boolean</x:v>
      </x:c>
      <x:c r="F91" s="41" t="str">
        <x:v>Y</x:v>
      </x:c>
      <x:c r="G91" s="29" t="str">
        <x:v>-</x:v>
      </x:c>
      <x:c r="H91" s="106" t="b">
        <x:v>1</x:v>
      </x:c>
      <x:c r="I91" s="91" t="str">
        <x:v>근거 존재 여부</x:v>
      </x:c>
    </x:row>
    <x:row r="92" ht="38" customHeight="1">
      <x:c r="A92" s="109" t="str">
        <x:v>AiRagResponse</x:v>
      </x:c>
      <x:c r="B92" s="41" t="str">
        <x:v>응답</x:v>
      </x:c>
      <x:c r="C92" s="41" t="str">
        <x:v>sources</x:v>
      </x:c>
      <x:c r="D92" s="41" t="str">
        <x:v>sources[]</x:v>
      </x:c>
      <x:c r="E92" s="41" t="str">
        <x:v>Array&lt;Object&gt;</x:v>
      </x:c>
      <x:c r="F92" s="41" t="str">
        <x:v>N</x:v>
      </x:c>
      <x:c r="G92" s="29" t="str">
        <x:v>0~5개</x:v>
      </x:c>
      <x:c r="H92" s="29" t="str">
        <x:v>[...]</x:v>
      </x:c>
      <x:c r="I92" s="91" t="str">
        <x:v>근거 문서 목록</x:v>
      </x:c>
    </x:row>
    <x:row r="93" ht="38" customHeight="1">
      <x:c r="A93" s="109" t="str">
        <x:v>AiRagResponse</x:v>
      </x:c>
      <x:c r="B93" s="41" t="str">
        <x:v>응답</x:v>
      </x:c>
      <x:c r="C93" s="41" t="str">
        <x:v>retrievalScore</x:v>
      </x:c>
      <x:c r="D93" s="41" t="str">
        <x:v>sources[].score</x:v>
      </x:c>
      <x:c r="E93" s="41" t="str">
        <x:v>Decimal</x:v>
      </x:c>
      <x:c r="F93" s="41" t="str">
        <x:v>N</x:v>
      </x:c>
      <x:c r="G93" s="29" t="str">
        <x:v>0~1</x:v>
      </x:c>
      <x:c r="H93" s="29" t="n">
        <x:v>0.91</x:v>
      </x:c>
      <x:c r="I93" s="91" t="str">
        <x:v>검색 유사도</x:v>
      </x:c>
    </x:row>
    <x:row r="94" ht="38" customHeight="1">
      <x:c r="A94" s="109" t="str">
        <x:v>AiRagResponse</x:v>
      </x:c>
      <x:c r="B94" s="41" t="str">
        <x:v>응답</x:v>
      </x:c>
      <x:c r="C94" s="41" t="str">
        <x:v>promptVersion</x:v>
      </x:c>
      <x:c r="D94" s="41" t="str">
        <x:v>promptVersion</x:v>
      </x:c>
      <x:c r="E94" s="41" t="str">
        <x:v>String</x:v>
      </x:c>
      <x:c r="F94" s="41" t="str">
        <x:v>Y</x:v>
      </x:c>
      <x:c r="G94" s="29" t="str">
        <x:v>-</x:v>
      </x:c>
      <x:c r="H94" s="29" t="str">
        <x:v>rag-prompt-1.0.0</x:v>
      </x:c>
      <x:c r="I94" s="91" t="str">
        <x:v>프롬프트 버전</x:v>
      </x:c>
    </x:row>
    <x:row r="95" ht="38" customHeight="1">
      <x:c r="A95" s="109" t="str">
        <x:v>HealthResponse</x:v>
      </x:c>
      <x:c r="B95" s="41" t="str">
        <x:v>응답</x:v>
      </x:c>
      <x:c r="C95" s="41" t="str">
        <x:v>status</x:v>
      </x:c>
      <x:c r="D95" s="41" t="str">
        <x:v>status</x:v>
      </x:c>
      <x:c r="E95" s="41" t="str">
        <x:v>String</x:v>
      </x:c>
      <x:c r="F95" s="41" t="str">
        <x:v>Y</x:v>
      </x:c>
      <x:c r="G95" s="29" t="str">
        <x:v>UP/DOWN</x:v>
      </x:c>
      <x:c r="H95" s="29" t="str">
        <x:v>UP</x:v>
      </x:c>
      <x:c r="I95" s="91" t="str">
        <x:v>서비스 상태</x:v>
      </x:c>
    </x:row>
    <x:row r="96" ht="38" customHeight="1">
      <x:c r="A96" s="109" t="str">
        <x:v>HealthResponse</x:v>
      </x:c>
      <x:c r="B96" s="41" t="str">
        <x:v>응답</x:v>
      </x:c>
      <x:c r="C96" s="41" t="str">
        <x:v>timestamp</x:v>
      </x:c>
      <x:c r="D96" s="41" t="str">
        <x:v>timestamp</x:v>
      </x:c>
      <x:c r="E96" s="41" t="str">
        <x:v>DateTime</x:v>
      </x:c>
      <x:c r="F96" s="41" t="str">
        <x:v>Y</x:v>
      </x:c>
      <x:c r="G96" s="29" t="str">
        <x:v>ISO-8601</x:v>
      </x:c>
      <x:c r="H96" s="29" t="n">
        <x:v>46220.47222222222</x:v>
      </x:c>
      <x:c r="I96" s="91" t="str">
        <x:v>확인 시각</x:v>
      </x:c>
    </x:row>
    <x:row r="97" ht="38" customHeight="1">
      <x:c r="A97" s="110" t="str">
        <x:v>HealthResponse</x:v>
      </x:c>
      <x:c r="B97" s="93" t="str">
        <x:v>응답</x:v>
      </x:c>
      <x:c r="C97" s="93" t="str">
        <x:v>version</x:v>
      </x:c>
      <x:c r="D97" s="93" t="str">
        <x:v>version</x:v>
      </x:c>
      <x:c r="E97" s="93" t="str">
        <x:v>String</x:v>
      </x:c>
      <x:c r="F97" s="93" t="str">
        <x:v>Y</x:v>
      </x:c>
      <x:c r="G97" s="67" t="str">
        <x:v>-</x:v>
      </x:c>
      <x:c r="H97" s="67" t="str">
        <x:v>1.0.0</x:v>
      </x:c>
      <x:c r="I97" s="94" t="str">
        <x:v>서비스 버전</x:v>
      </x:c>
    </x:row>
  </x:sheetData>
  <x:conditionalFormatting sqref="B2:B500">
    <x:cfRule type="expression" dxfId="8" priority="1">
      <x:formula>B2="요청"</x:formula>
    </x:cfRule>
    <x:cfRule type="expression" dxfId="9" priority="2">
      <x:formula>B2="응답"</x:formula>
    </x:cfRule>
  </x:conditionalFormatting>
  <x:conditionalFormatting sqref="F2:F500">
    <x:cfRule type="expression" dxfId="10" priority="3">
      <x:formula>F2="Y"</x:formula>
    </x:cfRule>
  </x:conditionalFormatting>
  <x:dataValidations count="2">
    <x:dataValidation type="list" sqref="B2:B500">
      <x:formula1>"요청,응답"</x:formula1>
    </x:dataValidation>
    <x:dataValidation type="list" sqref="F2:F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0b866720ef4f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3" hidden="0" customWidth="1"/>
    <x:col min="4" max="4" width="95" hidden="0" customWidth="1"/>
  </x:cols>
  <x:sheetData>
    <x:row r="1">
      <x:c r="A1" s="87" t="str">
        <x:v>API ID</x:v>
      </x:c>
      <x:c r="B1" s="88" t="str">
        <x:v>예시명</x:v>
      </x:c>
      <x:c r="C1" s="88" t="str">
        <x:v>구분</x:v>
      </x:c>
      <x:c r="D1" s="89" t="str">
        <x:v>JSON</x:v>
      </x:c>
    </x:row>
    <x:row r="2" ht="160" customHeight="1">
      <x:c r="A2" s="90" t="str">
        <x:v>AUTH-001</x:v>
      </x:c>
      <x:c r="B2" s="41" t="str">
        <x:v>회원가입 요청</x:v>
      </x:c>
      <x:c r="C2" s="41" t="str">
        <x:v>Request</x:v>
      </x:c>
      <x:c r="D2" s="121" t="str">
        <x:v>{
  "name": "곽진아",
  "email": "user@example.com",
  "password": "Passw0rd!"
}</x:v>
      </x:c>
    </x:row>
    <x:row r="3" ht="160" customHeight="1">
      <x:c r="A3" s="90" t="str">
        <x:v>AUTH-001/002</x:v>
      </x:c>
      <x:c r="B3" s="41" t="str">
        <x:v>인증 성공 응답</x:v>
      </x:c>
      <x:c r="C3" s="41" t="str">
        <x:v>Response</x:v>
      </x:c>
      <x:c r="D3" s="121" t="str">
        <x:v>{
  "accessToken": "eyJhbGciOi...",
  "tokenType": "Bearer",
  "expiresIn": 3600,
  "user": {
    "id": 1,
    "name": "곽진아",
    "email": "user@example.com"
  }
}</x:v>
      </x:c>
    </x:row>
    <x:row r="4" ht="160" customHeight="1">
      <x:c r="A4" s="90" t="str">
        <x:v>ANALYSIS-001</x:v>
      </x:c>
      <x:c r="B4" s="41" t="str">
        <x:v>분석 요청</x:v>
      </x:c>
      <x:c r="C4" s="41" t="str">
        <x:v>Request</x:v>
      </x:c>
      <x:c r="D4" s="121" t="str">
        <x:v>{
  "age": 30,
  "education": "BACHELOR",
  "major": "Computer Science",
  "occupation": "Software Engineer",
  "experienceYears": 5,
  "languageTest": "IELTS_GENERAL",
  "languageScore": 7.0,
  "careerText": "Spring Boot와 Vue를 활용한 시스템 개발 및 운영 경험",
  "fundsRange": "30M_50M",
  "familyAccompanied": false,
  "preferredCountry": "ANY"
}</x:v>
      </x:c>
    </x:row>
    <x:row r="5" ht="160" customHeight="1">
      <x:c r="A5" s="90" t="str">
        <x:v>ANALYSIS-002</x:v>
      </x:c>
      <x:c r="B5" s="41" t="str">
        <x:v>분석 완료 응답</x:v>
      </x:c>
      <x:c r="C5" s="41" t="str">
        <x:v>Response</x:v>
      </x:c>
      <x:c r="D5" s="121" t="str">
        <x:v>{
  "analysisId": 1001,
  "status": "COMPLETED",
  "analyzedAt": "2026-07-17T20:10:05+09:00",
  "results": [
    {
      "rank": 1,
      "countryCode": "CAN",
      "countryName": "캐나다",
      "visaCode": "CA_EE_FSW",
      "visaName": "Express Entry FSW",
      "totalScore": 84.5,
      "ruleScore": 82.0,
      "environmentScore": 88.0,
      "careerSimilarity": 86.0,
      "preferenceScore": 80.0,
      "ruleStatus": "NEEDS_IMPROVEMENT",
      "strengths": [
        "관련 경력 5년",
        "학사 학위 보유"
      ],
      "improvements": [
        "영어 점수 보완 필요"
      ],
      "matchedOccupation": {
        "code": "21232",
        "title": "Software developers and programmers",
        "similarity": 0.87
      }
    }
  ],
  "disclaimer": "본 점수는 실제 비자 승인 확률이 아닙니다."
}</x:v>
      </x:c>
    </x:row>
    <x:row r="6" ht="160" customHeight="1">
      <x:c r="A6" s="90" t="str">
        <x:v>CHAT-001</x:v>
      </x:c>
      <x:c r="B6" s="41" t="str">
        <x:v>RAG 상담 요청</x:v>
      </x:c>
      <x:c r="C6" s="41" t="str">
        <x:v>Request</x:v>
      </x:c>
      <x:c r="D6" s="121" t="str">
        <x:v>{
  "sessionId": 501,
  "question": "캐나다 Express Entry FSW에 필요한 서류가 뭐야?",
  "countryCode": "CAN",
  "visaCode": "CA_EE_FSW",
  "analysisId": 1001
}</x:v>
      </x:c>
    </x:row>
    <x:row r="7" ht="160" customHeight="1">
      <x:c r="A7" s="90" t="str">
        <x:v>CHAT-001</x:v>
      </x:c>
      <x:c r="B7" s="41" t="str">
        <x:v>RAG 상담 응답</x:v>
      </x:c>
      <x:c r="C7" s="41" t="str">
        <x:v>Response</x:v>
      </x:c>
      <x:c r="D7" s="121" t="str">
        <x:v>{
  "sessionId": 501,
  "messageId": 9001,
  "answer": "일반적으로 여권, 공인 언어시험 결과, ECA 등 공식 서류가 필요합니다.",
  "answerable": true,
  "sources": [
    {
      "title": "Express Entry 준비 서류",
      "url": "https://www.canada.ca/en/immigration-refugees-citizenship/services/immigrate-canada/express-entry/documents.html",
      "verifiedAt": "2026-07-17"
    }
  ],
  "disclaimer": "본 답변은 법률 자문이 아닙니다."
}</x:v>
      </x:c>
    </x:row>
    <x:row r="8" ht="160" customHeight="1">
      <x:c r="A8" s="92" t="str">
        <x:v>COMMON</x:v>
      </x:c>
      <x:c r="B8" s="93" t="str">
        <x:v>공통 오류 응답</x:v>
      </x:c>
      <x:c r="C8" s="93" t="str">
        <x:v>Error</x:v>
      </x:c>
      <x:c r="D8" s="122" t="str">
        <x:v>{
  "timestamp": "2026-07-17T20:15:00+09:00",
  "status": 400,
  "code": "BAD_REQUEST",
  "message": "요청 형식 또는 파라미터가 올바르지 않습니다.",
  "path": "/api/analyses",
  "fieldErrors": [
    {
      "field": "age",
      "reason": "18세 이상 64세 이하로 입력해 주세요."
    }
  ]
}</x:v>
      </x:c>
    </x:row>
  </x:sheetData>
  <x:conditionalFormatting sqref="C2:C100">
    <x:cfRule type="expression" dxfId="11" priority="1">
      <x:formula>C2="Request"</x:formula>
    </x:cfRule>
    <x:cfRule type="expression" dxfId="12" priority="2">
      <x:formula>C2="Response"</x:formula>
    </x:cfRule>
    <x:cfRule type="expression" dxfId="13" priority="3">
      <x:formula>C2="Error"</x:formula>
    </x:cfRule>
  </x:conditionalFormatting>
  <x:dataValidations count="1">
    <x:dataValidation type="list" sqref="C2:C100">
      <x:formula1>"Request,Response,Error"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45938a80e747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0" hidden="0" customWidth="1"/>
    <x:col min="4" max="4" width="48" hidden="0" customWidth="1"/>
    <x:col min="5" max="5" width="44" hidden="0" customWidth="1"/>
    <x:col min="6" max="6" width="20" hidden="0" customWidth="1"/>
  </x:cols>
  <x:sheetData>
    <x:row r="1" ht="42" customHeight="1">
      <x:c r="A1" s="87" t="str">
        <x:v>오류 ID</x:v>
      </x:c>
      <x:c r="B1" s="88" t="str">
        <x:v>HTTP Status</x:v>
      </x:c>
      <x:c r="C1" s="88" t="str">
        <x:v>오류 코드</x:v>
      </x:c>
      <x:c r="D1" s="88" t="str">
        <x:v>사용자 메시지</x:v>
      </x:c>
      <x:c r="E1" s="88" t="str">
        <x:v>처리 원칙</x:v>
      </x:c>
      <x:c r="F1" s="89" t="str">
        <x:v>적용 영역</x:v>
      </x:c>
    </x:row>
    <x:row r="2" ht="42" customHeight="1">
      <x:c r="A2" s="90" t="str">
        <x:v>COMMON-400</x:v>
      </x:c>
      <x:c r="B2" s="41" t="n">
        <x:v>400</x:v>
      </x:c>
      <x:c r="C2" s="41" t="str">
        <x:v>BAD_REQUEST</x:v>
      </x:c>
      <x:c r="D2" s="29" t="str">
        <x:v>요청 형식 또는 파라미터가 올바르지 않습니다.</x:v>
      </x:c>
      <x:c r="E2" s="29" t="str">
        <x:v>필드 오류 목록을 함께 반환</x:v>
      </x:c>
      <x:c r="F2" s="91" t="str">
        <x:v>전체</x:v>
      </x:c>
    </x:row>
    <x:row r="3" ht="42" customHeight="1">
      <x:c r="A3" s="90" t="str">
        <x:v>COMMON-401</x:v>
      </x:c>
      <x:c r="B3" s="41" t="n">
        <x:v>401</x:v>
      </x:c>
      <x:c r="C3" s="41" t="str">
        <x:v>UNAUTHORIZED</x:v>
      </x:c>
      <x:c r="D3" s="29" t="str">
        <x:v>로그인이 필요합니다.</x:v>
      </x:c>
      <x:c r="E3" s="29" t="str">
        <x:v>JWT 누락·만료·위조</x:v>
      </x:c>
      <x:c r="F3" s="91" t="str">
        <x:v>보호 API</x:v>
      </x:c>
    </x:row>
    <x:row r="4" ht="42" customHeight="1">
      <x:c r="A4" s="90" t="str">
        <x:v>COMMON-403</x:v>
      </x:c>
      <x:c r="B4" s="41" t="n">
        <x:v>403</x:v>
      </x:c>
      <x:c r="C4" s="41" t="str">
        <x:v>FORBIDDEN</x:v>
      </x:c>
      <x:c r="D4" s="29" t="str">
        <x:v>접근 권한이 없습니다.</x:v>
      </x:c>
      <x:c r="E4" s="29" t="str">
        <x:v>다른 사용자의 분석·상담 접근</x:v>
      </x:c>
      <x:c r="F4" s="91" t="str">
        <x:v>분석/상담</x:v>
      </x:c>
    </x:row>
    <x:row r="5" ht="42" customHeight="1">
      <x:c r="A5" s="90" t="str">
        <x:v>COMMON-404</x:v>
      </x:c>
      <x:c r="B5" s="41" t="n">
        <x:v>404</x:v>
      </x:c>
      <x:c r="C5" s="41" t="str">
        <x:v>RESOURCE_NOT_FOUND</x:v>
      </x:c>
      <x:c r="D5" s="29" t="str">
        <x:v>요청한 데이터를 찾을 수 없습니다.</x:v>
      </x:c>
      <x:c r="E5" s="29" t="str">
        <x:v>ID 존재 여부 확인</x:v>
      </x:c>
      <x:c r="F5" s="91" t="str">
        <x:v>전체</x:v>
      </x:c>
    </x:row>
    <x:row r="6" ht="42" customHeight="1">
      <x:c r="A6" s="90" t="str">
        <x:v>COMMON-409</x:v>
      </x:c>
      <x:c r="B6" s="41" t="n">
        <x:v>409</x:v>
      </x:c>
      <x:c r="C6" s="41" t="str">
        <x:v>DUPLICATE_RESOURCE</x:v>
      </x:c>
      <x:c r="D6" s="29" t="str">
        <x:v>이미 사용 중인 이메일입니다.</x:v>
      </x:c>
      <x:c r="E6" s="29" t="str">
        <x:v>회원가입 이메일 중복</x:v>
      </x:c>
      <x:c r="F6" s="91" t="str">
        <x:v>회원가입</x:v>
      </x:c>
    </x:row>
    <x:row r="7" ht="42" customHeight="1">
      <x:c r="A7" s="90" t="str">
        <x:v>COMMON-422</x:v>
      </x:c>
      <x:c r="B7" s="41" t="n">
        <x:v>422</x:v>
      </x:c>
      <x:c r="C7" s="41" t="str">
        <x:v>UNPROCESSABLE_ENTITY</x:v>
      </x:c>
      <x:c r="D7" s="29" t="str">
        <x:v>입력값을 분석할 수 없습니다.</x:v>
      </x:c>
      <x:c r="E7" s="29" t="str">
        <x:v>지원하지 않는 코드 또는 분석 불가 입력</x:v>
      </x:c>
      <x:c r="F7" s="91" t="str">
        <x:v>분석/상담</x:v>
      </x:c>
    </x:row>
    <x:row r="8" ht="42" customHeight="1">
      <x:c r="A8" s="90" t="str">
        <x:v>COMMON-429</x:v>
      </x:c>
      <x:c r="B8" s="41" t="n">
        <x:v>429</x:v>
      </x:c>
      <x:c r="C8" s="41" t="str">
        <x:v>TOO_MANY_REQUESTS</x:v>
      </x:c>
      <x:c r="D8" s="29" t="str">
        <x:v>요청이 너무 많습니다. 잠시 후 다시 시도해 주세요.</x:v>
      </x:c>
      <x:c r="E8" s="29" t="str">
        <x:v>LLM/API 호출 제한</x:v>
      </x:c>
      <x:c r="F8" s="91" t="str">
        <x:v>상담</x:v>
      </x:c>
    </x:row>
    <x:row r="9" ht="42" customHeight="1">
      <x:c r="A9" s="90" t="str">
        <x:v>COMMON-500</x:v>
      </x:c>
      <x:c r="B9" s="41" t="n">
        <x:v>500</x:v>
      </x:c>
      <x:c r="C9" s="41" t="str">
        <x:v>INTERNAL_SERVER_ERROR</x:v>
      </x:c>
      <x:c r="D9" s="29" t="str">
        <x:v>서버 처리 중 오류가 발생했습니다.</x:v>
      </x:c>
      <x:c r="E9" s="29" t="str">
        <x:v>상세 예외는 로그에만 기록</x:v>
      </x:c>
      <x:c r="F9" s="91" t="str">
        <x:v>전체</x:v>
      </x:c>
    </x:row>
    <x:row r="10" ht="42" customHeight="1">
      <x:c r="A10" s="90" t="str">
        <x:v>COMMON-503</x:v>
      </x:c>
      <x:c r="B10" s="41" t="n">
        <x:v>503</x:v>
      </x:c>
      <x:c r="C10" s="41" t="str">
        <x:v>SERVICE_UNAVAILABLE</x:v>
      </x:c>
      <x:c r="D10" s="29" t="str">
        <x:v>AI 분석 서비스를 일시적으로 사용할 수 없습니다.</x:v>
      </x:c>
      <x:c r="E10" s="29" t="str">
        <x:v>FastAPI·LLM·DB 연결 실패</x:v>
      </x:c>
      <x:c r="F10" s="91" t="str">
        <x:v>분석/상담</x:v>
      </x:c>
    </x:row>
    <x:row r="11" ht="42" customHeight="1">
      <x:c r="A11" s="90" t="str">
        <x:v>AUTH-001</x:v>
      </x:c>
      <x:c r="B11" s="41" t="n">
        <x:v>401</x:v>
      </x:c>
      <x:c r="C11" s="41" t="str">
        <x:v>INVALID_CREDENTIALS</x:v>
      </x:c>
      <x:c r="D11" s="29" t="str">
        <x:v>이메일 또는 비밀번호를 확인해 주세요.</x:v>
      </x:c>
      <x:c r="E11" s="29" t="str">
        <x:v>계정 존재 여부 미노출</x:v>
      </x:c>
      <x:c r="F11" s="91" t="str">
        <x:v>로그인</x:v>
      </x:c>
    </x:row>
    <x:row r="12" ht="42" customHeight="1">
      <x:c r="A12" s="90" t="str">
        <x:v>ANALYSIS-001</x:v>
      </x:c>
      <x:c r="B12" s="41" t="n">
        <x:v>404</x:v>
      </x:c>
      <x:c r="C12" s="41" t="str">
        <x:v>ANALYSIS_NOT_FOUND</x:v>
      </x:c>
      <x:c r="D12" s="29" t="str">
        <x:v>분석 결과를 찾을 수 없습니다.</x:v>
      </x:c>
      <x:c r="E12" s="29" t="str">
        <x:v>analysisId 확인</x:v>
      </x:c>
      <x:c r="F12" s="91" t="str">
        <x:v>분석 상세</x:v>
      </x:c>
    </x:row>
    <x:row r="13" ht="42" customHeight="1">
      <x:c r="A13" s="90" t="str">
        <x:v>ANALYSIS-002</x:v>
      </x:c>
      <x:c r="B13" s="41" t="n">
        <x:v>403</x:v>
      </x:c>
      <x:c r="C13" s="41" t="str">
        <x:v>ANALYSIS_ACCESS_DENIED</x:v>
      </x:c>
      <x:c r="D13" s="29" t="str">
        <x:v>해당 분석 결과를 조회할 수 없습니다.</x:v>
      </x:c>
      <x:c r="E13" s="29" t="str">
        <x:v>사용자 소유권 검증 실패</x:v>
      </x:c>
      <x:c r="F13" s="91" t="str">
        <x:v>분석 상세</x:v>
      </x:c>
    </x:row>
    <x:row r="14" ht="42" customHeight="1">
      <x:c r="A14" s="90" t="str">
        <x:v>CHAT-001</x:v>
      </x:c>
      <x:c r="B14" s="41" t="n">
        <x:v>404</x:v>
      </x:c>
      <x:c r="C14" s="41" t="str">
        <x:v>CHAT_SESSION_NOT_FOUND</x:v>
      </x:c>
      <x:c r="D14" s="29" t="str">
        <x:v>상담 이력을 찾을 수 없습니다.</x:v>
      </x:c>
      <x:c r="E14" s="29" t="str">
        <x:v>sessionId 확인</x:v>
      </x:c>
      <x:c r="F14" s="91" t="str">
        <x:v>상담 이력</x:v>
      </x:c>
    </x:row>
    <x:row r="15" ht="42" customHeight="1">
      <x:c r="A15" s="92" t="str">
        <x:v>CHAT-002</x:v>
      </x:c>
      <x:c r="B15" s="93" t="n">
        <x:v>422</x:v>
      </x:c>
      <x:c r="C15" s="93" t="str">
        <x:v>RAG_SOURCE_NOT_FOUND</x:v>
      </x:c>
      <x:c r="D15" s="67" t="str">
        <x:v>공식 문서에서 근거를 찾지 못했습니다.</x:v>
      </x:c>
      <x:c r="E15" s="67" t="str">
        <x:v>answerable=false와 함께 반환 가능</x:v>
      </x:c>
      <x:c r="F15" s="94" t="str">
        <x:v>AI 상담</x:v>
      </x:c>
    </x:row>
  </x:sheetData>
  <x:conditionalFormatting sqref="B2:B15">
    <x:cfRule type="expression" dxfId="14" priority="1">
      <x:formula>B2&gt;=500</x:formula>
    </x:cfRule>
    <x:cfRule type="expression" dxfId="15" priority="2">
      <x:formula>AND(B2&gt;=400,B2&lt;500)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919aaf4b2b48c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30" hidden="0" customWidth="1"/>
    <x:col min="4" max="4" width="42" hidden="0" customWidth="1"/>
    <x:col min="5" max="5" width="12" hidden="0" customWidth="1"/>
    <x:col min="6" max="6" width="12" hidden="0" customWidth="1"/>
  </x:cols>
  <x:sheetData>
    <x:row r="1" ht="36" customHeight="1">
      <x:c r="A1" s="87" t="str">
        <x:v>코드 그룹</x:v>
      </x:c>
      <x:c r="B1" s="88" t="str">
        <x:v>코드</x:v>
      </x:c>
      <x:c r="C1" s="88" t="str">
        <x:v>표시명</x:v>
      </x:c>
      <x:c r="D1" s="88" t="str">
        <x:v>설명</x:v>
      </x:c>
      <x:c r="E1" s="88" t="str">
        <x:v>정렬 순서</x:v>
      </x:c>
      <x:c r="F1" s="89" t="str">
        <x:v>사용 여부</x:v>
      </x:c>
    </x:row>
    <x:row r="2" ht="36" customHeight="1">
      <x:c r="A2" s="109" t="str">
        <x:v>COUNTRY</x:v>
      </x:c>
      <x:c r="B2" s="29" t="str">
        <x:v>CAN</x:v>
      </x:c>
      <x:c r="C2" s="29" t="str">
        <x:v>캐나다</x:v>
      </x:c>
      <x:c r="D2" s="29" t="str">
        <x:v>Express Entry FSW</x:v>
      </x:c>
      <x:c r="E2" s="41" t="n">
        <x:v>1</x:v>
      </x:c>
      <x:c r="F2" s="125" t="str">
        <x:v>Y</x:v>
      </x:c>
    </x:row>
    <x:row r="3" ht="36" customHeight="1">
      <x:c r="A3" s="109" t="str">
        <x:v>COUNTRY</x:v>
      </x:c>
      <x:c r="B3" s="29" t="str">
        <x:v>AUS</x:v>
      </x:c>
      <x:c r="C3" s="29" t="str">
        <x:v>호주</x:v>
      </x:c>
      <x:c r="D3" s="29" t="str">
        <x:v>Skilled Independent Visa Subclass 189</x:v>
      </x:c>
      <x:c r="E3" s="41" t="n">
        <x:v>2</x:v>
      </x:c>
      <x:c r="F3" s="125" t="str">
        <x:v>Y</x:v>
      </x:c>
    </x:row>
    <x:row r="4" ht="36" customHeight="1">
      <x:c r="A4" s="109" t="str">
        <x:v>COUNTRY</x:v>
      </x:c>
      <x:c r="B4" s="29" t="str">
        <x:v>GBR</x:v>
      </x:c>
      <x:c r="C4" s="29" t="str">
        <x:v>영국</x:v>
      </x:c>
      <x:c r="D4" s="29" t="str">
        <x:v>Skilled Worker Visa</x:v>
      </x:c>
      <x:c r="E4" s="41" t="n">
        <x:v>3</x:v>
      </x:c>
      <x:c r="F4" s="125" t="str">
        <x:v>Y</x:v>
      </x:c>
    </x:row>
    <x:row r="5" ht="36" customHeight="1">
      <x:c r="A5" s="109" t="str">
        <x:v>COUNTRY</x:v>
      </x:c>
      <x:c r="B5" s="29" t="str">
        <x:v>ANY</x:v>
      </x:c>
      <x:c r="C5" s="29" t="str">
        <x:v>상관없음</x:v>
      </x:c>
      <x:c r="D5" s="29" t="str">
        <x:v>특정 국가 선호 없음</x:v>
      </x:c>
      <x:c r="E5" s="41" t="n">
        <x:v>4</x:v>
      </x:c>
      <x:c r="F5" s="125" t="str">
        <x:v>Y</x:v>
      </x:c>
    </x:row>
    <x:row r="6" ht="36" customHeight="1">
      <x:c r="A6" s="109" t="str">
        <x:v>VISA</x:v>
      </x:c>
      <x:c r="B6" s="29" t="str">
        <x:v>CA_EE_FSW</x:v>
      </x:c>
      <x:c r="C6" s="29" t="str">
        <x:v>Express Entry FSW</x:v>
      </x:c>
      <x:c r="D6" s="29" t="str">
        <x:v>캐나다 대표 비자</x:v>
      </x:c>
      <x:c r="E6" s="41" t="n">
        <x:v>1</x:v>
      </x:c>
      <x:c r="F6" s="125" t="str">
        <x:v>Y</x:v>
      </x:c>
    </x:row>
    <x:row r="7" ht="36" customHeight="1">
      <x:c r="A7" s="109" t="str">
        <x:v>VISA</x:v>
      </x:c>
      <x:c r="B7" s="29" t="str">
        <x:v>AU_189</x:v>
      </x:c>
      <x:c r="C7" s="29" t="str">
        <x:v>Subclass 189</x:v>
      </x:c>
      <x:c r="D7" s="29" t="str">
        <x:v>호주 대표 비자</x:v>
      </x:c>
      <x:c r="E7" s="41" t="n">
        <x:v>2</x:v>
      </x:c>
      <x:c r="F7" s="125" t="str">
        <x:v>Y</x:v>
      </x:c>
    </x:row>
    <x:row r="8" ht="36" customHeight="1">
      <x:c r="A8" s="109" t="str">
        <x:v>VISA</x:v>
      </x:c>
      <x:c r="B8" s="29" t="str">
        <x:v>UK_SWV</x:v>
      </x:c>
      <x:c r="C8" s="29" t="str">
        <x:v>Skilled Worker Visa</x:v>
      </x:c>
      <x:c r="D8" s="29" t="str">
        <x:v>영국 대표 비자</x:v>
      </x:c>
      <x:c r="E8" s="41" t="n">
        <x:v>3</x:v>
      </x:c>
      <x:c r="F8" s="125" t="str">
        <x:v>Y</x:v>
      </x:c>
    </x:row>
    <x:row r="9" ht="36" customHeight="1">
      <x:c r="A9" s="109" t="str">
        <x:v>EDUCATION</x:v>
      </x:c>
      <x:c r="B9" s="29" t="str">
        <x:v>HIGH_SCHOOL</x:v>
      </x:c>
      <x:c r="C9" s="29" t="str">
        <x:v>고등학교 졸업</x:v>
      </x:c>
      <x:c r="D9" s="29" t="str">
        <x:v>고졸</x:v>
      </x:c>
      <x:c r="E9" s="41" t="n">
        <x:v>1</x:v>
      </x:c>
      <x:c r="F9" s="125" t="str">
        <x:v>Y</x:v>
      </x:c>
    </x:row>
    <x:row r="10" ht="36" customHeight="1">
      <x:c r="A10" s="109" t="str">
        <x:v>EDUCATION</x:v>
      </x:c>
      <x:c r="B10" s="29" t="str">
        <x:v>ASSOCIATE</x:v>
      </x:c>
      <x:c r="C10" s="29" t="str">
        <x:v>전문학사</x:v>
      </x:c>
      <x:c r="D10" s="29" t="str">
        <x:v>전문대 졸업</x:v>
      </x:c>
      <x:c r="E10" s="41" t="n">
        <x:v>2</x:v>
      </x:c>
      <x:c r="F10" s="125" t="str">
        <x:v>Y</x:v>
      </x:c>
    </x:row>
    <x:row r="11" ht="36" customHeight="1">
      <x:c r="A11" s="109" t="str">
        <x:v>EDUCATION</x:v>
      </x:c>
      <x:c r="B11" s="29" t="str">
        <x:v>BACHELOR</x:v>
      </x:c>
      <x:c r="C11" s="29" t="str">
        <x:v>학사</x:v>
      </x:c>
      <x:c r="D11" s="29" t="str">
        <x:v>4년제 대학 졸업</x:v>
      </x:c>
      <x:c r="E11" s="41" t="n">
        <x:v>3</x:v>
      </x:c>
      <x:c r="F11" s="125" t="str">
        <x:v>Y</x:v>
      </x:c>
    </x:row>
    <x:row r="12" ht="36" customHeight="1">
      <x:c r="A12" s="109" t="str">
        <x:v>EDUCATION</x:v>
      </x:c>
      <x:c r="B12" s="29" t="str">
        <x:v>MASTER</x:v>
      </x:c>
      <x:c r="C12" s="29" t="str">
        <x:v>석사</x:v>
      </x:c>
      <x:c r="D12" s="29" t="str">
        <x:v>대학원 석사</x:v>
      </x:c>
      <x:c r="E12" s="41" t="n">
        <x:v>4</x:v>
      </x:c>
      <x:c r="F12" s="125" t="str">
        <x:v>Y</x:v>
      </x:c>
    </x:row>
    <x:row r="13" ht="36" customHeight="1">
      <x:c r="A13" s="109" t="str">
        <x:v>EDUCATION</x:v>
      </x:c>
      <x:c r="B13" s="29" t="str">
        <x:v>DOCTOR</x:v>
      </x:c>
      <x:c r="C13" s="29" t="str">
        <x:v>박사</x:v>
      </x:c>
      <x:c r="D13" s="29" t="str">
        <x:v>대학원 박사</x:v>
      </x:c>
      <x:c r="E13" s="41" t="n">
        <x:v>5</x:v>
      </x:c>
      <x:c r="F13" s="125" t="str">
        <x:v>Y</x:v>
      </x:c>
    </x:row>
    <x:row r="14" ht="36" customHeight="1">
      <x:c r="A14" s="109" t="str">
        <x:v>LANGUAGE_TEST</x:v>
      </x:c>
      <x:c r="B14" s="29" t="str">
        <x:v>NONE</x:v>
      </x:c>
      <x:c r="C14" s="29" t="str">
        <x:v>미응시</x:v>
      </x:c>
      <x:c r="D14" s="29" t="str">
        <x:v>공인 언어시험 미응시</x:v>
      </x:c>
      <x:c r="E14" s="41" t="n">
        <x:v>1</x:v>
      </x:c>
      <x:c r="F14" s="125" t="str">
        <x:v>Y</x:v>
      </x:c>
    </x:row>
    <x:row r="15" ht="36" customHeight="1">
      <x:c r="A15" s="109" t="str">
        <x:v>LANGUAGE_TEST</x:v>
      </x:c>
      <x:c r="B15" s="29" t="str">
        <x:v>IELTS_GENERAL</x:v>
      </x:c>
      <x:c r="C15" s="29" t="str">
        <x:v>IELTS General</x:v>
      </x:c>
      <x:c r="D15" s="29" t="str">
        <x:v>캐나다·호주 등</x:v>
      </x:c>
      <x:c r="E15" s="41" t="n">
        <x:v>2</x:v>
      </x:c>
      <x:c r="F15" s="125" t="str">
        <x:v>Y</x:v>
      </x:c>
    </x:row>
    <x:row r="16" ht="36" customHeight="1">
      <x:c r="A16" s="109" t="str">
        <x:v>LANGUAGE_TEST</x:v>
      </x:c>
      <x:c r="B16" s="29" t="str">
        <x:v>CELPIP</x:v>
      </x:c>
      <x:c r="C16" s="29" t="str">
        <x:v>CELPIP</x:v>
      </x:c>
      <x:c r="D16" s="29" t="str">
        <x:v>캐나다</x:v>
      </x:c>
      <x:c r="E16" s="41" t="n">
        <x:v>3</x:v>
      </x:c>
      <x:c r="F16" s="125" t="str">
        <x:v>Y</x:v>
      </x:c>
    </x:row>
    <x:row r="17" ht="36" customHeight="1">
      <x:c r="A17" s="109" t="str">
        <x:v>LANGUAGE_TEST</x:v>
      </x:c>
      <x:c r="B17" s="29" t="str">
        <x:v>PTE</x:v>
      </x:c>
      <x:c r="C17" s="29" t="str">
        <x:v>PTE</x:v>
      </x:c>
      <x:c r="D17" s="29" t="str">
        <x:v>캐나다·호주 등</x:v>
      </x:c>
      <x:c r="E17" s="41" t="n">
        <x:v>4</x:v>
      </x:c>
      <x:c r="F17" s="125" t="str">
        <x:v>Y</x:v>
      </x:c>
    </x:row>
    <x:row r="18" ht="36" customHeight="1">
      <x:c r="A18" s="109" t="str">
        <x:v>FUND_RANGE</x:v>
      </x:c>
      <x:c r="B18" s="29" t="str">
        <x:v>UNDER_10M</x:v>
      </x:c>
      <x:c r="C18" s="29" t="str">
        <x:v>1천만 원 미만</x:v>
      </x:c>
      <x:c r="D18" s="29" t="str">
        <x:v>보유 자금 구간</x:v>
      </x:c>
      <x:c r="E18" s="41" t="n">
        <x:v>1</x:v>
      </x:c>
      <x:c r="F18" s="125" t="str">
        <x:v>Y</x:v>
      </x:c>
    </x:row>
    <x:row r="19" ht="36" customHeight="1">
      <x:c r="A19" s="109" t="str">
        <x:v>FUND_RANGE</x:v>
      </x:c>
      <x:c r="B19" s="29" t="str">
        <x:v>10M_30M</x:v>
      </x:c>
      <x:c r="C19" s="29" t="str">
        <x:v>1천만~3천만 원</x:v>
      </x:c>
      <x:c r="D19" s="29" t="str">
        <x:v>보유 자금 구간</x:v>
      </x:c>
      <x:c r="E19" s="41" t="n">
        <x:v>2</x:v>
      </x:c>
      <x:c r="F19" s="125" t="str">
        <x:v>Y</x:v>
      </x:c>
    </x:row>
    <x:row r="20" ht="36" customHeight="1">
      <x:c r="A20" s="109" t="str">
        <x:v>FUND_RANGE</x:v>
      </x:c>
      <x:c r="B20" s="29" t="str">
        <x:v>30M_50M</x:v>
      </x:c>
      <x:c r="C20" s="29" t="str">
        <x:v>3천만~5천만 원</x:v>
      </x:c>
      <x:c r="D20" s="29" t="str">
        <x:v>보유 자금 구간</x:v>
      </x:c>
      <x:c r="E20" s="41" t="n">
        <x:v>3</x:v>
      </x:c>
      <x:c r="F20" s="125" t="str">
        <x:v>Y</x:v>
      </x:c>
    </x:row>
    <x:row r="21" ht="36" customHeight="1">
      <x:c r="A21" s="109" t="str">
        <x:v>FUND_RANGE</x:v>
      </x:c>
      <x:c r="B21" s="29" t="str">
        <x:v>OVER_50M</x:v>
      </x:c>
      <x:c r="C21" s="29" t="str">
        <x:v>5천만 원 이상</x:v>
      </x:c>
      <x:c r="D21" s="29" t="str">
        <x:v>보유 자금 구간</x:v>
      </x:c>
      <x:c r="E21" s="41" t="n">
        <x:v>4</x:v>
      </x:c>
      <x:c r="F21" s="125" t="str">
        <x:v>Y</x:v>
      </x:c>
    </x:row>
    <x:row r="22" ht="36" customHeight="1">
      <x:c r="A22" s="109" t="str">
        <x:v>ANALYSIS_STATUS</x:v>
      </x:c>
      <x:c r="B22" s="29" t="str">
        <x:v>PENDING</x:v>
      </x:c>
      <x:c r="C22" s="29" t="str">
        <x:v>대기</x:v>
      </x:c>
      <x:c r="D22" s="29" t="str">
        <x:v>분석 요청 생성</x:v>
      </x:c>
      <x:c r="E22" s="41" t="n">
        <x:v>1</x:v>
      </x:c>
      <x:c r="F22" s="125" t="str">
        <x:v>Y</x:v>
      </x:c>
    </x:row>
    <x:row r="23" ht="36" customHeight="1">
      <x:c r="A23" s="109" t="str">
        <x:v>ANALYSIS_STATUS</x:v>
      </x:c>
      <x:c r="B23" s="29" t="str">
        <x:v>PROCESSING</x:v>
      </x:c>
      <x:c r="C23" s="29" t="str">
        <x:v>분석 중</x:v>
      </x:c>
      <x:c r="D23" s="29" t="str">
        <x:v>FastAPI 분석 진행</x:v>
      </x:c>
      <x:c r="E23" s="41" t="n">
        <x:v>2</x:v>
      </x:c>
      <x:c r="F23" s="125" t="str">
        <x:v>Y</x:v>
      </x:c>
    </x:row>
    <x:row r="24" ht="36" customHeight="1">
      <x:c r="A24" s="109" t="str">
        <x:v>ANALYSIS_STATUS</x:v>
      </x:c>
      <x:c r="B24" s="29" t="str">
        <x:v>COMPLETED</x:v>
      </x:c>
      <x:c r="C24" s="29" t="str">
        <x:v>완료</x:v>
      </x:c>
      <x:c r="D24" s="29" t="str">
        <x:v>결과 생성 완료</x:v>
      </x:c>
      <x:c r="E24" s="41" t="n">
        <x:v>3</x:v>
      </x:c>
      <x:c r="F24" s="125" t="str">
        <x:v>Y</x:v>
      </x:c>
    </x:row>
    <x:row r="25" ht="36" customHeight="1">
      <x:c r="A25" s="109" t="str">
        <x:v>ANALYSIS_STATUS</x:v>
      </x:c>
      <x:c r="B25" s="29" t="str">
        <x:v>FAILED</x:v>
      </x:c>
      <x:c r="C25" s="29" t="str">
        <x:v>실패</x:v>
      </x:c>
      <x:c r="D25" s="29" t="str">
        <x:v>분석 처리 실패</x:v>
      </x:c>
      <x:c r="E25" s="41" t="n">
        <x:v>4</x:v>
      </x:c>
      <x:c r="F25" s="125" t="str">
        <x:v>Y</x:v>
      </x:c>
    </x:row>
    <x:row r="26" ht="36" customHeight="1">
      <x:c r="A26" s="109" t="str">
        <x:v>RULE_STATUS</x:v>
      </x:c>
      <x:c r="B26" s="29" t="str">
        <x:v>MET</x:v>
      </x:c>
      <x:c r="C26" s="29" t="str">
        <x:v>충족</x:v>
      </x:c>
      <x:c r="D26" s="29" t="str">
        <x:v>현재 입력 기준 조건 충족</x:v>
      </x:c>
      <x:c r="E26" s="41" t="n">
        <x:v>1</x:v>
      </x:c>
      <x:c r="F26" s="125" t="str">
        <x:v>Y</x:v>
      </x:c>
    </x:row>
    <x:row r="27" ht="36" customHeight="1">
      <x:c r="A27" s="109" t="str">
        <x:v>RULE_STATUS</x:v>
      </x:c>
      <x:c r="B27" s="29" t="str">
        <x:v>NEEDS_IMPROVEMENT</x:v>
      </x:c>
      <x:c r="C27" s="29" t="str">
        <x:v>보완 필요</x:v>
      </x:c>
      <x:c r="D27" s="29" t="str">
        <x:v>조건 또는 점수 개선 필요</x:v>
      </x:c>
      <x:c r="E27" s="41" t="n">
        <x:v>2</x:v>
      </x:c>
      <x:c r="F27" s="125" t="str">
        <x:v>Y</x:v>
      </x:c>
    </x:row>
    <x:row r="28" ht="36" customHeight="1">
      <x:c r="A28" s="110" t="str">
        <x:v>RULE_STATUS</x:v>
      </x:c>
      <x:c r="B28" s="67" t="str">
        <x:v>NEEDS_CONFIRMATION</x:v>
      </x:c>
      <x:c r="C28" s="67" t="str">
        <x:v>추가 확인 필요</x:v>
      </x:c>
      <x:c r="D28" s="67" t="str">
        <x:v>공식 심사·서류 확인 필요</x:v>
      </x:c>
      <x:c r="E28" s="93" t="n">
        <x:v>3</x:v>
      </x:c>
      <x:c r="F28" s="126" t="str">
        <x:v>Y</x:v>
      </x:c>
    </x:row>
  </x:sheetData>
  <x:dataValidations count="1">
    <x:dataValidation type="list" sqref="F2:F1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213b00a5704bd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7" hidden="0" customWidth="1"/>
    <x:col min="4" max="4" width="31" hidden="0" customWidth="1"/>
    <x:col min="5" max="5" width="20" hidden="0" customWidth="1"/>
    <x:col min="6" max="6" width="48" hidden="0" customWidth="1"/>
    <x:col min="7" max="7" width="34" hidden="0" customWidth="1"/>
    <x:col min="8" max="8" width="30" hidden="0" customWidth="1"/>
  </x:cols>
  <x:sheetData>
    <x:row r="1" ht="42" customHeight="1">
      <x:c r="A1" s="87" t="str">
        <x:v>순번</x:v>
      </x:c>
      <x:c r="B1" s="88" t="str">
        <x:v>업무 단계</x:v>
      </x:c>
      <x:c r="C1" s="88" t="str">
        <x:v>호출 주체</x:v>
      </x:c>
      <x:c r="D1" s="88" t="str">
        <x:v>호출 API</x:v>
      </x:c>
      <x:c r="E1" s="88" t="str">
        <x:v>처리 대상</x:v>
      </x:c>
      <x:c r="F1" s="88" t="str">
        <x:v>주요 처리</x:v>
      </x:c>
      <x:c r="G1" s="88" t="str">
        <x:v>연동 데이터·서비스</x:v>
      </x:c>
      <x:c r="H1" s="89" t="str">
        <x:v>결과</x:v>
      </x:c>
    </x:row>
    <x:row r="2" ht="42" customHeight="1">
      <x:c r="A2" s="90" t="n">
        <x:v>1</x:v>
      </x:c>
      <x:c r="B2" s="41" t="str">
        <x:v>회원가입</x:v>
      </x:c>
      <x:c r="C2" s="41" t="str">
        <x:v>Vue</x:v>
      </x:c>
      <x:c r="D2" s="41" t="str">
        <x:v>POST /api/auth/signup</x:v>
      </x:c>
      <x:c r="E2" s="41" t="str">
        <x:v>Spring Boot</x:v>
      </x:c>
      <x:c r="F2" s="29" t="str">
        <x:v>users INSERT → JWT 발급</x:v>
      </x:c>
      <x:c r="G2" s="29" t="str">
        <x:v>-</x:v>
      </x:c>
      <x:c r="H2" s="91" t="str">
        <x:v>201 AuthResponse</x:v>
      </x:c>
    </x:row>
    <x:row r="3" ht="42" customHeight="1">
      <x:c r="A3" s="90" t="n">
        <x:v>2</x:v>
      </x:c>
      <x:c r="B3" s="41" t="str">
        <x:v>로그인</x:v>
      </x:c>
      <x:c r="C3" s="41" t="str">
        <x:v>Vue</x:v>
      </x:c>
      <x:c r="D3" s="41" t="str">
        <x:v>POST /api/auth/login</x:v>
      </x:c>
      <x:c r="E3" s="41" t="str">
        <x:v>Spring Boot</x:v>
      </x:c>
      <x:c r="F3" s="29" t="str">
        <x:v>이메일/비밀번호 검증 → JWT 발급</x:v>
      </x:c>
      <x:c r="G3" s="29" t="str">
        <x:v>-</x:v>
      </x:c>
      <x:c r="H3" s="91" t="str">
        <x:v>200 AuthResponse</x:v>
      </x:c>
    </x:row>
    <x:row r="4" ht="42" customHeight="1">
      <x:c r="A4" s="90" t="n">
        <x:v>3</x:v>
      </x:c>
      <x:c r="B4" s="41" t="str">
        <x:v>프로필 저장</x:v>
      </x:c>
      <x:c r="C4" s="41" t="str">
        <x:v>Vue</x:v>
      </x:c>
      <x:c r="D4" s="41" t="str">
        <x:v>PUT /api/users/me/profile</x:v>
      </x:c>
      <x:c r="E4" s="41" t="str">
        <x:v>Spring Boot</x:v>
      </x:c>
      <x:c r="F4" s="29" t="str">
        <x:v>user_profiles UPSERT</x:v>
      </x:c>
      <x:c r="G4" s="29" t="str">
        <x:v>-</x:v>
      </x:c>
      <x:c r="H4" s="91" t="str">
        <x:v>200 UserProfileResponse</x:v>
      </x:c>
    </x:row>
    <x:row r="5" ht="42" customHeight="1">
      <x:c r="A5" s="90" t="n">
        <x:v>4</x:v>
      </x:c>
      <x:c r="B5" s="41" t="str">
        <x:v>분석 요청</x:v>
      </x:c>
      <x:c r="C5" s="41" t="str">
        <x:v>Vue</x:v>
      </x:c>
      <x:c r="D5" s="41" t="str">
        <x:v>POST /api/analyses</x:v>
      </x:c>
      <x:c r="E5" s="41" t="str">
        <x:v>Spring Boot</x:v>
      </x:c>
      <x:c r="F5" s="29" t="str">
        <x:v>analysis_requests PENDING 저장</x:v>
      </x:c>
      <x:c r="G5" s="29" t="str">
        <x:v>POST /ai/recommend</x:v>
      </x:c>
      <x:c r="H5" s="91" t="str">
        <x:v>202 AnalysisCreateResponse</x:v>
      </x:c>
    </x:row>
    <x:row r="6" ht="42" customHeight="1">
      <x:c r="A6" s="90" t="n">
        <x:v>5</x:v>
      </x:c>
      <x:c r="B6" s="41" t="str">
        <x:v>AI 분석</x:v>
      </x:c>
      <x:c r="C6" s="41" t="str">
        <x:v>Spring Boot</x:v>
      </x:c>
      <x:c r="D6" s="41" t="str">
        <x:v>POST /ai/recommend</x:v>
      </x:c>
      <x:c r="E6" s="41" t="str">
        <x:v>FastAPI</x:v>
      </x:c>
      <x:c r="F6" s="29" t="str">
        <x:v>비자 규칙 + ML + 경력 매칭 + 선호 점수</x:v>
      </x:c>
      <x:c r="G6" s="29" t="str">
        <x:v>PostgreSQL/모델 파일</x:v>
      </x:c>
      <x:c r="H6" s="91" t="str">
        <x:v>200 AiRecommendResponse</x:v>
      </x:c>
    </x:row>
    <x:row r="7" ht="42" customHeight="1">
      <x:c r="A7" s="90" t="n">
        <x:v>6</x:v>
      </x:c>
      <x:c r="B7" s="41" t="str">
        <x:v>분석 결과 저장</x:v>
      </x:c>
      <x:c r="C7" s="41" t="str">
        <x:v>Spring Boot</x:v>
      </x:c>
      <x:c r="D7" s="41" t="str">
        <x:v>내부 처리</x:v>
      </x:c>
      <x:c r="E7" s="41" t="str">
        <x:v>PostgreSQL</x:v>
      </x:c>
      <x:c r="F7" s="29" t="str">
        <x:v>country_results / reasons 저장</x:v>
      </x:c>
      <x:c r="G7" s="29" t="str">
        <x:v>-</x:v>
      </x:c>
      <x:c r="H7" s="91" t="str">
        <x:v>status=COMPLETED</x:v>
      </x:c>
    </x:row>
    <x:row r="8" ht="42" customHeight="1">
      <x:c r="A8" s="90" t="n">
        <x:v>7</x:v>
      </x:c>
      <x:c r="B8" s="41" t="str">
        <x:v>결과 조회</x:v>
      </x:c>
      <x:c r="C8" s="41" t="str">
        <x:v>Vue</x:v>
      </x:c>
      <x:c r="D8" s="41" t="str">
        <x:v>GET /api/analyses/{id}</x:v>
      </x:c>
      <x:c r="E8" s="41" t="str">
        <x:v>Spring Boot</x:v>
      </x:c>
      <x:c r="F8" s="29" t="str">
        <x:v>소유권 확인 후 결과 반환</x:v>
      </x:c>
      <x:c r="G8" s="29" t="str">
        <x:v>-</x:v>
      </x:c>
      <x:c r="H8" s="91" t="str">
        <x:v>200 AnalysisDetailResponse</x:v>
      </x:c>
    </x:row>
    <x:row r="9" ht="42" customHeight="1">
      <x:c r="A9" s="90" t="n">
        <x:v>8</x:v>
      </x:c>
      <x:c r="B9" s="41" t="str">
        <x:v>RAG 질문</x:v>
      </x:c>
      <x:c r="C9" s="41" t="str">
        <x:v>Vue</x:v>
      </x:c>
      <x:c r="D9" s="41" t="str">
        <x:v>POST /api/chat</x:v>
      </x:c>
      <x:c r="E9" s="41" t="str">
        <x:v>Spring Boot</x:v>
      </x:c>
      <x:c r="F9" s="29" t="str">
        <x:v>질문 저장</x:v>
      </x:c>
      <x:c r="G9" s="29" t="str">
        <x:v>POST /ai/rag/answer</x:v>
      </x:c>
      <x:c r="H9" s="91" t="str">
        <x:v>200 ChatAnswerResponse</x:v>
      </x:c>
    </x:row>
    <x:row r="10" ht="42" customHeight="1">
      <x:c r="A10" s="90" t="n">
        <x:v>9</x:v>
      </x:c>
      <x:c r="B10" s="41" t="str">
        <x:v>RAG 검색·생성</x:v>
      </x:c>
      <x:c r="C10" s="41" t="str">
        <x:v>Spring Boot</x:v>
      </x:c>
      <x:c r="D10" s="41" t="str">
        <x:v>POST /ai/rag/answer</x:v>
      </x:c>
      <x:c r="E10" s="41" t="str">
        <x:v>FastAPI</x:v>
      </x:c>
      <x:c r="F10" s="29" t="str">
        <x:v>pgvector 검색 → LLM 답변 생성</x:v>
      </x:c>
      <x:c r="G10" s="29" t="str">
        <x:v>pgvector / LLM API</x:v>
      </x:c>
      <x:c r="H10" s="91" t="str">
        <x:v>200 AiRagResponse</x:v>
      </x:c>
    </x:row>
    <x:row r="11" ht="42" customHeight="1">
      <x:c r="A11" s="92" t="n">
        <x:v>10</x:v>
      </x:c>
      <x:c r="B11" s="93" t="str">
        <x:v>상담 저장</x:v>
      </x:c>
      <x:c r="C11" s="93" t="str">
        <x:v>Spring Boot</x:v>
      </x:c>
      <x:c r="D11" s="93" t="str">
        <x:v>내부 처리</x:v>
      </x:c>
      <x:c r="E11" s="93" t="str">
        <x:v>PostgreSQL</x:v>
      </x:c>
      <x:c r="F11" s="67" t="str">
        <x:v>chat_messages 저장</x:v>
      </x:c>
      <x:c r="G11" s="67" t="str">
        <x:v>-</x:v>
      </x:c>
      <x:c r="H11" s="94" t="str">
        <x:v>답변 반환</x:v>
      </x:c>
    </x:row>
  </x:sheetData>
  <x:pageMargins left="0.7" right="0.7" top="0.75" bottom="0.75" header="0.3" footer="0.3"/>
  <x:tableParts count="1">
    <x:tablePart xmlns:r="http://schemas.openxmlformats.org/officeDocument/2006/relationships" r:id="Rd83343238bbc4b15"/>
  </x:tableParts>
</x:worksheet>
</file>