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3ad30770d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지_요약" sheetId="1" r:id="R527c59467c074e43"/>
    <x:sheet xmlns:r="http://schemas.openxmlformats.org/officeDocument/2006/relationships" name="기능목록" sheetId="2" r:id="Re9df0ed3fbe44322"/>
    <x:sheet xmlns:r="http://schemas.openxmlformats.org/officeDocument/2006/relationships" name="기능상세" sheetId="3" r:id="Rf264fec685f34eaa"/>
    <x:sheet xmlns:r="http://schemas.openxmlformats.org/officeDocument/2006/relationships" name="화면_API_매핑" sheetId="4" r:id="R11ee74ef252d444f"/>
    <x:sheet xmlns:r="http://schemas.openxmlformats.org/officeDocument/2006/relationships" name="개발우선순위" sheetId="5" r:id="R8e07249b6c8648c7"/>
    <x:sheet xmlns:r="http://schemas.openxmlformats.org/officeDocument/2006/relationships" name="인수테스트" sheetId="6" r:id="Rd786579c1207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color rgb="FF0F2A5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A5F"/>
      </x:patternFill>
    </x:fill>
    <x:fill>
      <x:patternFill patternType="solid">
        <x:fgColor rgb="FFEAF2FF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1" fillId="2" borderId="14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2" fillId="2" borderId="13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horizontal="center" vertical="center"/>
    </x:xf>
    <x:xf numFmtId="0" fontId="3" fillId="3" borderId="13" xfId="0" applyNumberFormat="1" applyFont="1" applyFill="1" applyBorder="1" applyAlignment="1">
      <x:alignment horizontal="center" vertical="center" wrapText="1"/>
    </x:xf>
    <x:xf numFmtId="0" fontId="2" fillId="4" borderId="13" xfId="0" applyNumberFormat="1" applyFont="1" applyFill="1" applyBorder="1" applyAlignment="1">
      <x:alignment horizontal="center" vertical="center"/>
    </x:xf>
    <x:xf numFmtId="0" fontId="3" fillId="5" borderId="13" xfId="0" applyNumberFormat="1" applyFont="1" applyFill="1" applyBorder="1" applyAlignment="1">
      <x:alignment horizontal="center" vertical="center" wrapText="1"/>
    </x:xf>
    <x:xf numFmtId="0" fontId="3" fillId="5" borderId="14" xfId="0" applyNumberFormat="1" applyFont="1" applyFill="1" applyBorder="1" applyAlignment="1">
      <x:alignment horizontal="center" vertical="center" wrapText="1"/>
    </x:xf>
    <x:xf numFmtId="0" fontId="4" fillId="6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3F4F6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bd3b3a4f243b0" /><Relationship Type="http://schemas.openxmlformats.org/officeDocument/2006/relationships/theme" Target="/xl/theme/theme1.xml" Id="R1d2ea0626c654f72" /><Relationship Type="http://schemas.openxmlformats.org/officeDocument/2006/relationships/sharedStrings" Target="/xl/sharedStrings.xml" Id="Rabfade21cd5f46bd" /><Relationship Type="http://schemas.openxmlformats.org/officeDocument/2006/relationships/worksheet" Target="/xl/worksheets/sheet1.xml" Id="R527c59467c074e43" /><Relationship Type="http://schemas.openxmlformats.org/officeDocument/2006/relationships/worksheet" Target="/xl/worksheets/sheet2.xml" Id="Re9df0ed3fbe44322" /><Relationship Type="http://schemas.openxmlformats.org/officeDocument/2006/relationships/worksheet" Target="/xl/worksheets/sheet3.xml" Id="Rf264fec685f34eaa" /><Relationship Type="http://schemas.openxmlformats.org/officeDocument/2006/relationships/worksheet" Target="/xl/worksheets/sheet4.xml" Id="R11ee74ef252d444f" /><Relationship Type="http://schemas.openxmlformats.org/officeDocument/2006/relationships/worksheet" Target="/xl/worksheets/sheet5.xml" Id="R8e07249b6c8648c7" /><Relationship Type="http://schemas.openxmlformats.org/officeDocument/2006/relationships/worksheet" Target="/xl/worksheets/sheet6.xml" Id="Rd786579c12074301" /></Relationships>
</file>

<file path=xl/tables/table1.xml><?xml version="1.0" encoding="utf-8"?>
<x:table xmlns:x="http://schemas.openxmlformats.org/spreadsheetml/2006/main" id="1" name="FeatureListTable" displayName="FeatureListTable" ref="A1:M64" headerRowCount="1">
  <x:tableColumns count="13">
    <x:tableColumn id="1" name="기능 ID"/>
    <x:tableColumn id="2" name="대분류"/>
    <x:tableColumn id="3" name="중분류"/>
    <x:tableColumn id="4" name="기능명"/>
    <x:tableColumn id="5" name="기능 설명"/>
    <x:tableColumn id="6" name="사용자·주체"/>
    <x:tableColumn id="7" name="우선순위"/>
    <x:tableColumn id="8" name="MVP"/>
    <x:tableColumn id="9" name="연관 화면"/>
    <x:tableColumn id="10" name="연동 API"/>
    <x:tableColumn id="11" name="담당 영역"/>
    <x:tableColumn id="12" name="상태"/>
    <x:tableColumn id="13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FeatureDetailTable" displayName="FeatureDetailTable" ref="A1:L64" headerRowCount="1">
  <x:tableColumns count="12">
    <x:tableColumn id="1" name="기능 ID"/>
    <x:tableColumn id="2" name="기능명"/>
    <x:tableColumn id="3" name="상세 설명"/>
    <x:tableColumn id="4" name="사용자·주체"/>
    <x:tableColumn id="5" name="선행 조건"/>
    <x:tableColumn id="6" name="기본 처리 흐름"/>
    <x:tableColumn id="7" name="출력·결과"/>
    <x:tableColumn id="8" name="완료 기준"/>
    <x:tableColumn id="9" name="우선순위"/>
    <x:tableColumn id="10" name="담당 영역"/>
    <x:tableColumn id="11" name="상태"/>
    <x:tableColumn id="12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FeatureMappingTable" displayName="FeatureMappingTable" ref="A1:G64" headerRowCount="1">
  <x:tableColumns count="7">
    <x:tableColumn id="1" name="기능 ID"/>
    <x:tableColumn id="2" name="기능명"/>
    <x:tableColumn id="3" name="연관 화면"/>
    <x:tableColumn id="4" name="연동 API"/>
    <x:tableColumn id="5" name="담당 영역"/>
    <x:tableColumn id="6" name="우선순위"/>
    <x:tableColumn id="7" name="상태"/>
  </x:tableColumns>
  <x:tableStyleInfo name="TableStyleMedium2" showRowStripes="1"/>
</x:table>
</file>

<file path=xl/tables/table4.xml><?xml version="1.0" encoding="utf-8"?>
<x:table xmlns:x="http://schemas.openxmlformats.org/spreadsheetml/2006/main" id="4" name="DevelopmentPriorityTable" displayName="DevelopmentPriorityTable" ref="A1:G7" headerRowCount="1">
  <x:tableColumns count="7">
    <x:tableColumn id="1" name="단계"/>
    <x:tableColumn id="2" name="개발 범위"/>
    <x:tableColumn id="3" name="대상 기능"/>
    <x:tableColumn id="4" name="주요 작업"/>
    <x:tableColumn id="5" name="우선순위"/>
    <x:tableColumn id="6" name="완료 기준"/>
    <x:tableColumn id="7" name="권장 일정"/>
  </x:tableColumns>
  <x:tableStyleInfo name="TableStyleMedium2" showRowStripes="1"/>
</x:table>
</file>

<file path=xl/tables/table5.xml><?xml version="1.0" encoding="utf-8"?>
<x:table xmlns:x="http://schemas.openxmlformats.org/spreadsheetml/2006/main" id="5" name="AcceptanceTestTable" displayName="AcceptanceTestTable" ref="A1:G16" headerRowCount="1">
  <x:tableColumns count="7">
    <x:tableColumn id="1" name="테스트 ID"/>
    <x:tableColumn id="2" name="테스트 항목"/>
    <x:tableColumn id="3" name="사전 조건·입력"/>
    <x:tableColumn id="4" name="기대 결과"/>
    <x:tableColumn id="5" name="연관 기능"/>
    <x:tableColumn id="6" name="우선순위"/>
    <x:tableColumn id="7" name="결과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5709cb980f4c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81ac46ab444b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d10055d3004c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2b06536e5241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213c921b4e405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" hidden="0" customWidth="1"/>
    <x:col min="4" max="4" width="24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2" customHeight="1">
      <x:c r="A1" s="62" t="str">
        <x:v>Living Abroad 기능 목록</x:v>
      </x:c>
      <x:c r="B1" s="63"/>
      <x:c r="C1" s="63"/>
      <x:c r="D1" s="63"/>
      <x:c r="E1" s="63"/>
      <x:c r="F1" s="63"/>
      <x:c r="G1" s="63"/>
      <x:c r="H1" s="64"/>
    </x:row>
    <x:row r="2" ht="32" customHeight="1">
      <x:c r="A2" s="65"/>
      <x:c r="B2" s="5"/>
      <x:c r="C2" s="5"/>
      <x:c r="D2" s="5"/>
      <x:c r="E2" s="5"/>
      <x:c r="F2" s="5"/>
      <x:c r="G2" s="5"/>
      <x:c r="H2" s="66"/>
    </x:row>
    <x:row r="3">
      <x:c r="A3" s="67"/>
      <x:c r="B3" s="68"/>
      <x:c r="C3" s="68"/>
      <x:c r="D3" s="68"/>
      <x:c r="E3" s="68"/>
      <x:c r="F3" s="68"/>
      <x:c r="G3" s="68"/>
      <x:c r="H3" s="69"/>
    </x:row>
    <x:row r="4">
      <x:c r="A4" s="70" t="str">
        <x:v>항목</x:v>
      </x:c>
      <x:c r="B4" s="13" t="str">
        <x:v>내용</x:v>
      </x:c>
      <x:c r="C4" s="68"/>
      <x:c r="D4" s="35" t="str">
        <x:v>기능 구성 요약</x:v>
      </x:c>
      <x:c r="E4" s="35"/>
      <x:c r="F4" s="35"/>
      <x:c r="G4" s="35"/>
      <x:c r="H4" s="71"/>
    </x:row>
    <x:row r="5">
      <x:c r="A5" s="72" t="str">
        <x:v>프로젝트명</x:v>
      </x:c>
      <x:c r="B5" s="29" t="str">
        <x:v>Living Abroad</x:v>
      </x:c>
      <x:c r="C5" s="68"/>
      <x:c r="D5" s="13" t="str">
        <x:v>구분</x:v>
      </x:c>
      <x:c r="E5" s="13" t="str">
        <x:v>값</x:v>
      </x:c>
      <x:c r="F5" s="68"/>
      <x:c r="G5" s="68"/>
      <x:c r="H5" s="69"/>
    </x:row>
    <x:row r="6">
      <x:c r="A6" s="72" t="str">
        <x:v>문서명</x:v>
      </x:c>
      <x:c r="B6" s="29" t="str">
        <x:v>기능 목록</x:v>
      </x:c>
      <x:c r="C6" s="68"/>
      <x:c r="D6" s="22" t="str">
        <x:v>전체 기능 수</x:v>
      </x:c>
      <x:c r="E6" s="41" t="n">
        <x:f>COUNTA('기능목록'!A2:A200)</x:f>
        <x:v>63</x:v>
      </x:c>
      <x:c r="F6" s="68"/>
      <x:c r="G6" s="68"/>
      <x:c r="H6" s="69"/>
    </x:row>
    <x:row r="7">
      <x:c r="A7" s="72" t="str">
        <x:v>서비스 유형</x:v>
      </x:c>
      <x:c r="B7" s="29" t="str">
        <x:v>AI 기반 해외 취업·이주 가이드 플랫폼</x:v>
      </x:c>
      <x:c r="C7" s="68"/>
      <x:c r="D7" s="22" t="str">
        <x:v>Must 기능 수</x:v>
      </x:c>
      <x:c r="E7" s="41" t="n">
        <x:f>COUNTIF('기능목록'!G2:G200,"Must")</x:f>
        <x:v>48</x:v>
      </x:c>
      <x:c r="F7" s="68"/>
      <x:c r="G7" s="68"/>
      <x:c r="H7" s="69"/>
    </x:row>
    <x:row r="8">
      <x:c r="A8" s="72" t="str">
        <x:v>지원 국가</x:v>
      </x:c>
      <x:c r="B8" s="29" t="str">
        <x:v>캐나다 / 호주 / 영국</x:v>
      </x:c>
      <x:c r="C8" s="68"/>
      <x:c r="D8" s="22" t="str">
        <x:v>Should 기능 수</x:v>
      </x:c>
      <x:c r="E8" s="41" t="n">
        <x:f>COUNTIF('기능목록'!G2:G200,"Should")</x:f>
        <x:v>12</x:v>
      </x:c>
      <x:c r="F8" s="68"/>
      <x:c r="G8" s="68"/>
      <x:c r="H8" s="69"/>
    </x:row>
    <x:row r="9">
      <x:c r="A9" s="72" t="str">
        <x:v>MVP 범위</x:v>
      </x:c>
      <x:c r="B9" s="29" t="str">
        <x:v>회원·프로필·AI 분석·결과·RAG 상담·이력</x:v>
      </x:c>
      <x:c r="C9" s="68"/>
      <x:c r="D9" s="22" t="str">
        <x:v>Could 기능 수</x:v>
      </x:c>
      <x:c r="E9" s="41" t="n">
        <x:f>COUNTIF('기능목록'!G2:G200,"Could")</x:f>
        <x:v>3</x:v>
      </x:c>
      <x:c r="F9" s="68"/>
      <x:c r="G9" s="68"/>
      <x:c r="H9" s="69"/>
    </x:row>
    <x:row r="10">
      <x:c r="A10" s="72" t="str">
        <x:v>작성 기준일</x:v>
      </x:c>
      <x:c r="B10" s="29" t="str">
        <x:v>2026-07-17</x:v>
      </x:c>
      <x:c r="C10" s="68"/>
      <x:c r="D10" s="22" t="str">
        <x:v>Frontend 담당</x:v>
      </x:c>
      <x:c r="E10" s="41" t="n">
        <x:f>COUNTIF('기능목록'!K2:K200,"Frontend")+COUNTIF('기능목록'!K2:K200,"Frontend/Backend")</x:f>
        <x:v>32</x:v>
      </x:c>
      <x:c r="F10" s="68"/>
      <x:c r="G10" s="68"/>
      <x:c r="H10" s="69"/>
    </x:row>
    <x:row r="11">
      <x:c r="A11" s="67"/>
      <x:c r="B11" s="68"/>
      <x:c r="C11" s="68"/>
      <x:c r="D11" s="22" t="str">
        <x:v>Backend 담당</x:v>
      </x:c>
      <x:c r="E11" s="41" t="n">
        <x:f>COUNTIF('기능목록'!K2:K200,"Backend")+COUNTIF('기능목록'!K2:K200,"Frontend/Backend")+COUNTIF('기능목록'!K2:K200,"AI Server/Backend")</x:f>
        <x:v>21</x:v>
      </x:c>
      <x:c r="F11" s="68"/>
      <x:c r="G11" s="68"/>
      <x:c r="H11" s="69"/>
    </x:row>
    <x:row r="12">
      <x:c r="A12" s="67"/>
      <x:c r="B12" s="68"/>
      <x:c r="C12" s="68"/>
      <x:c r="D12" s="22" t="str">
        <x:v>AI Server 담당</x:v>
      </x:c>
      <x:c r="E12" s="41" t="n">
        <x:f>COUNTIF('기능목록'!K2:K200,"AI Server")+COUNTIF('기능목록'!K2:K200,"AI Server/Backend")</x:f>
        <x:v>16</x:v>
      </x:c>
      <x:c r="F12" s="68"/>
      <x:c r="G12" s="68"/>
      <x:c r="H12" s="69"/>
    </x:row>
    <x:row r="13">
      <x:c r="A13" s="67"/>
      <x:c r="B13" s="68"/>
      <x:c r="C13" s="68"/>
      <x:c r="D13" s="68"/>
      <x:c r="E13" s="68"/>
      <x:c r="F13" s="68"/>
      <x:c r="G13" s="68"/>
      <x:c r="H13" s="69"/>
    </x:row>
    <x:row r="14">
      <x:c r="A14" s="73" t="str">
        <x:v>핵심 기능 흐름</x:v>
      </x:c>
      <x:c r="B14" s="35"/>
      <x:c r="C14" s="35"/>
      <x:c r="D14" s="35"/>
      <x:c r="E14" s="35"/>
      <x:c r="F14" s="35"/>
      <x:c r="G14" s="35"/>
      <x:c r="H14" s="71"/>
    </x:row>
    <x:row r="15">
      <x:c r="A15" s="74" t="str">
        <x:v>회원가입·로그인 → 프로필 입력 → AI 분석 요청 → 비자 규칙·ML·직업 매칭 → 추천 결과 저장·제공 → 공식 문서 기반 RAG 상담 → 내 결과 재조회</x:v>
      </x:c>
      <x:c r="B15" s="48"/>
      <x:c r="C15" s="48"/>
      <x:c r="D15" s="48"/>
      <x:c r="E15" s="48"/>
      <x:c r="F15" s="48"/>
      <x:c r="G15" s="48"/>
      <x:c r="H15" s="75"/>
    </x:row>
    <x:row r="16">
      <x:c r="A16" s="74"/>
      <x:c r="B16" s="48"/>
      <x:c r="C16" s="48"/>
      <x:c r="D16" s="48"/>
      <x:c r="E16" s="48"/>
      <x:c r="F16" s="48"/>
      <x:c r="G16" s="48"/>
      <x:c r="H16" s="75"/>
    </x:row>
    <x:row r="17">
      <x:c r="A17" s="67"/>
      <x:c r="B17" s="68"/>
      <x:c r="C17" s="68"/>
      <x:c r="D17" s="68"/>
      <x:c r="E17" s="68"/>
      <x:c r="F17" s="68"/>
      <x:c r="G17" s="68"/>
      <x:c r="H17" s="69"/>
    </x:row>
    <x:row r="18">
      <x:c r="A18" s="73" t="str">
        <x:v>범위 관리 원칙</x:v>
      </x:c>
      <x:c r="B18" s="35"/>
      <x:c r="C18" s="35"/>
      <x:c r="D18" s="35"/>
      <x:c r="E18" s="35"/>
      <x:c r="F18" s="35"/>
      <x:c r="G18" s="35"/>
      <x:c r="H18" s="71"/>
    </x:row>
    <x:row r="19">
      <x:c r="A19" s="76" t="str">
        <x:v>1</x:v>
      </x:c>
      <x:c r="B19" s="29" t="str">
        <x:v>MVP에서는 캐나다·호주·영국과 대표 비자 1개씩만 지원한다.</x:v>
      </x:c>
      <x:c r="C19" s="29"/>
      <x:c r="D19" s="29"/>
      <x:c r="E19" s="29"/>
      <x:c r="F19" s="29"/>
      <x:c r="G19" s="29"/>
      <x:c r="H19" s="77"/>
    </x:row>
    <x:row r="20">
      <x:c r="A20" s="76" t="str">
        <x:v>2</x:v>
      </x:c>
      <x:c r="B20" s="29" t="str">
        <x:v>적합도는 실제 비자 승인 확률이 아닌 서비스 내부 참고 점수다.</x:v>
      </x:c>
      <x:c r="C20" s="29"/>
      <x:c r="D20" s="29"/>
      <x:c r="E20" s="29"/>
      <x:c r="F20" s="29"/>
      <x:c r="G20" s="29"/>
      <x:c r="H20" s="77"/>
    </x:row>
    <x:row r="21">
      <x:c r="A21" s="76" t="str">
        <x:v>3</x:v>
      </x:c>
      <x:c r="B21" s="29" t="str">
        <x:v>비자 자격은 ML 예측이 아니라 공식 문서를 기반으로 한 규칙 엔진으로 판정한다.</x:v>
      </x:c>
      <x:c r="C21" s="29"/>
      <x:c r="D21" s="29"/>
      <x:c r="E21" s="29"/>
      <x:c r="F21" s="29"/>
      <x:c r="G21" s="29"/>
      <x:c r="H21" s="77"/>
    </x:row>
    <x:row r="22">
      <x:c r="A22" s="76" t="str">
        <x:v>4</x:v>
      </x:c>
      <x:c r="B22" s="29" t="str">
        <x:v>RAG 답변에는 공식 출처 URL과 정보 검증일을 반드시 표시한다.</x:v>
      </x:c>
      <x:c r="C22" s="29"/>
      <x:c r="D22" s="29"/>
      <x:c r="E22" s="29"/>
      <x:c r="F22" s="29"/>
      <x:c r="G22" s="29"/>
      <x:c r="H22" s="77"/>
    </x:row>
    <x:row r="23">
      <x:c r="A23" s="78" t="str">
        <x:v>5</x:v>
      </x:c>
      <x:c r="B23" s="79" t="str">
        <x:v>관리자·결제·커뮤니티·실시간 크롤링은 MVP에서 제외한다.</x:v>
      </x:c>
      <x:c r="C23" s="79"/>
      <x:c r="D23" s="79"/>
      <x:c r="E23" s="79"/>
      <x:c r="F23" s="79"/>
      <x:c r="G23" s="79"/>
      <x:c r="H23" s="80"/>
    </x:row>
  </x:sheetData>
  <x:mergeCells>
    <x:mergeCell ref="A1:H2"/>
    <x:mergeCell ref="D4:H4"/>
    <x:mergeCell ref="A14:H14"/>
    <x:mergeCell ref="A15:H16"/>
    <x:mergeCell ref="A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8" hidden="0" customWidth="1"/>
    <x:col min="4" max="4" width="28" hidden="0" customWidth="1"/>
    <x:col min="5" max="5" width="52" hidden="0" customWidth="1"/>
    <x:col min="6" max="6" width="18" hidden="0" customWidth="1"/>
    <x:col min="7" max="7" width="12" hidden="0" customWidth="1"/>
    <x:col min="8" max="8" width="9" hidden="0" customWidth="1"/>
    <x:col min="9" max="9" width="32" hidden="0" customWidth="1"/>
    <x:col min="10" max="10" width="34" hidden="0" customWidth="1"/>
    <x:col min="11" max="11" width="22" hidden="0" customWidth="1"/>
    <x:col min="12" max="12" width="13" hidden="0" customWidth="1"/>
    <x:col min="13" max="13" width="35" hidden="0" customWidth="1"/>
  </x:cols>
  <x:sheetData>
    <x:row r="1" ht="42" customHeight="1">
      <x:c r="A1" s="99" t="str">
        <x:v>기능 ID</x:v>
      </x:c>
      <x:c r="B1" s="100" t="str">
        <x:v>대분류</x:v>
      </x:c>
      <x:c r="C1" s="100" t="str">
        <x:v>중분류</x:v>
      </x:c>
      <x:c r="D1" s="100" t="str">
        <x:v>기능명</x:v>
      </x:c>
      <x:c r="E1" s="100" t="str">
        <x:v>기능 설명</x:v>
      </x:c>
      <x:c r="F1" s="100" t="str">
        <x:v>사용자·주체</x:v>
      </x:c>
      <x:c r="G1" s="100" t="str">
        <x:v>우선순위</x:v>
      </x:c>
      <x:c r="H1" s="100" t="str">
        <x:v>MVP</x:v>
      </x:c>
      <x:c r="I1" s="100" t="str">
        <x:v>연관 화면</x:v>
      </x:c>
      <x:c r="J1" s="100" t="str">
        <x:v>연동 API</x:v>
      </x:c>
      <x:c r="K1" s="100" t="str">
        <x:v>담당 영역</x:v>
      </x:c>
      <x:c r="L1" s="100" t="str">
        <x:v>상태</x:v>
      </x:c>
      <x:c r="M1" s="101" t="str">
        <x:v>비고</x:v>
      </x:c>
    </x:row>
    <x:row r="2" ht="42" customHeight="1">
      <x:c r="A2" s="102" t="str">
        <x:v>F-COM-001</x:v>
      </x:c>
      <x:c r="B2" s="41" t="str">
        <x:v>공통</x:v>
      </x:c>
      <x:c r="C2" s="41" t="str">
        <x:v>내비게이션</x:v>
      </x:c>
      <x:c r="D2" s="41" t="str">
        <x:v>공통 헤더 표시</x:v>
      </x:c>
      <x:c r="E2" s="29" t="str">
        <x:v>로고와 주요 메뉴를 공통으로 표시하고 현재 로그인 상태에 맞춰 메뉴를 변경한다.</x:v>
      </x:c>
      <x:c r="F2" s="41" t="str">
        <x:v>전체 사용자</x:v>
      </x:c>
      <x:c r="G2" s="41" t="str">
        <x:v>Must</x:v>
      </x:c>
      <x:c r="H2" s="41" t="str">
        <x:v>Y</x:v>
      </x:c>
      <x:c r="I2" s="41" t="str">
        <x:v>HOME-001 외 전체</x:v>
      </x:c>
      <x:c r="J2" s="41" t="str">
        <x:v>-</x:v>
      </x:c>
      <x:c r="K2" s="41" t="str">
        <x:v>Frontend</x:v>
      </x:c>
      <x:c r="L2" s="41" t="str">
        <x:v>확정</x:v>
      </x:c>
      <x:c r="M2" s="77" t="str">
        <x:v>로그인 시 로그인 버튼을 사용자 메뉴로 변경</x:v>
      </x:c>
    </x:row>
    <x:row r="3" ht="42" customHeight="1">
      <x:c r="A3" s="102" t="str">
        <x:v>F-COM-002</x:v>
      </x:c>
      <x:c r="B3" s="41" t="str">
        <x:v>공통</x:v>
      </x:c>
      <x:c r="C3" s="41" t="str">
        <x:v>내비게이션</x:v>
      </x:c>
      <x:c r="D3" s="41" t="str">
        <x:v>보호 화면 접근 제어</x:v>
      </x:c>
      <x:c r="E3" s="29" t="str">
        <x:v>로그인하지 않은 사용자가 보호 화면에 접근하면 로그인 화면으로 이동시킨다.</x:v>
      </x:c>
      <x:c r="F3" s="41" t="str">
        <x:v>비로그인 사용자</x:v>
      </x:c>
      <x:c r="G3" s="41" t="str">
        <x:v>Must</x:v>
      </x:c>
      <x:c r="H3" s="41" t="str">
        <x:v>Y</x:v>
      </x:c>
      <x:c r="I3" s="41" t="str">
        <x:v>ANA-001~003, RES-001, CHAT-001, MY-001</x:v>
      </x:c>
      <x:c r="J3" s="41" t="str">
        <x:v>-</x:v>
      </x:c>
      <x:c r="K3" s="41" t="str">
        <x:v>Frontend/Backend</x:v>
      </x:c>
      <x:c r="L3" s="41" t="str">
        <x:v>확정</x:v>
      </x:c>
      <x:c r="M3" s="77" t="str">
        <x:v>JWT 만료도 동일 처리</x:v>
      </x:c>
    </x:row>
    <x:row r="4" ht="42" customHeight="1">
      <x:c r="A4" s="102" t="str">
        <x:v>F-COM-003</x:v>
      </x:c>
      <x:c r="B4" s="41" t="str">
        <x:v>공통</x:v>
      </x:c>
      <x:c r="C4" s="41" t="str">
        <x:v>오류 처리</x:v>
      </x:c>
      <x:c r="D4" s="41" t="str">
        <x:v>공통 오류 메시지 처리</x:v>
      </x:c>
      <x:c r="E4" s="29" t="str">
        <x:v>API 오류 코드를 사용자 친화적인 메시지로 변환하여 표시한다.</x:v>
      </x:c>
      <x:c r="F4" s="41" t="str">
        <x:v>전체 사용자</x:v>
      </x:c>
      <x:c r="G4" s="41" t="str">
        <x:v>Must</x:v>
      </x:c>
      <x:c r="H4" s="41" t="str">
        <x:v>Y</x:v>
      </x:c>
      <x:c r="I4" s="41" t="str">
        <x:v>전체 화면</x:v>
      </x:c>
      <x:c r="J4" s="41" t="str">
        <x:v>전체 API</x:v>
      </x:c>
      <x:c r="K4" s="41" t="str">
        <x:v>Frontend</x:v>
      </x:c>
      <x:c r="L4" s="41" t="str">
        <x:v>확정</x:v>
      </x:c>
      <x:c r="M4" s="77" t="str">
        <x:v>500 오류 세부 내용은 노출하지 않음</x:v>
      </x:c>
    </x:row>
    <x:row r="5" ht="42" customHeight="1">
      <x:c r="A5" s="102" t="str">
        <x:v>F-COM-004</x:v>
      </x:c>
      <x:c r="B5" s="41" t="str">
        <x:v>공통</x:v>
      </x:c>
      <x:c r="C5" s="41" t="str">
        <x:v>로딩</x:v>
      </x:c>
      <x:c r="D5" s="41" t="str">
        <x:v>공통 로딩 상태 표시</x:v>
      </x:c>
      <x:c r="E5" s="29" t="str">
        <x:v>API 처리 중 중복 요청을 막고 로딩 상태를 표시한다.</x:v>
      </x:c>
      <x:c r="F5" s="41" t="str">
        <x:v>전체 사용자</x:v>
      </x:c>
      <x:c r="G5" s="41" t="str">
        <x:v>Should</x:v>
      </x:c>
      <x:c r="H5" s="41" t="str">
        <x:v>Y</x:v>
      </x:c>
      <x:c r="I5" s="41" t="str">
        <x:v>전체 화면</x:v>
      </x:c>
      <x:c r="J5" s="41" t="str">
        <x:v>전체 API</x:v>
      </x:c>
      <x:c r="K5" s="41" t="str">
        <x:v>Frontend</x:v>
      </x:c>
      <x:c r="L5" s="41" t="str">
        <x:v>확정</x:v>
      </x:c>
      <x:c r="M5" s="77" t="str"/>
    </x:row>
    <x:row r="6" ht="42" customHeight="1">
      <x:c r="A6" s="102" t="str">
        <x:v>F-COM-005</x:v>
      </x:c>
      <x:c r="B6" s="41" t="str">
        <x:v>공통</x:v>
      </x:c>
      <x:c r="C6" s="41" t="str">
        <x:v>면책 안내</x:v>
      </x:c>
      <x:c r="D6" s="41" t="str">
        <x:v>AI 분석·상담 면책 문구 표시</x:v>
      </x:c>
      <x:c r="E6" s="29" t="str">
        <x:v>적합도 점수가 승인 확률이 아니며 상담이 법률 자문이 아님을 안내한다.</x:v>
      </x:c>
      <x:c r="F6" s="41" t="str">
        <x:v>전체 사용자</x:v>
      </x:c>
      <x:c r="G6" s="41" t="str">
        <x:v>Must</x:v>
      </x:c>
      <x:c r="H6" s="41" t="str">
        <x:v>Y</x:v>
      </x:c>
      <x:c r="I6" s="41" t="str">
        <x:v>HOME-001, RES-001, CHAT-001</x:v>
      </x:c>
      <x:c r="J6" s="41" t="str">
        <x:v>-</x:v>
      </x:c>
      <x:c r="K6" s="41" t="str">
        <x:v>Frontend</x:v>
      </x:c>
      <x:c r="L6" s="41" t="str">
        <x:v>확정</x:v>
      </x:c>
      <x:c r="M6" s="77" t="str"/>
    </x:row>
    <x:row r="7" ht="42" customHeight="1">
      <x:c r="A7" s="102" t="str">
        <x:v>F-HOME-001</x:v>
      </x:c>
      <x:c r="B7" s="41" t="str">
        <x:v>홈</x:v>
      </x:c>
      <x:c r="C7" s="41" t="str">
        <x:v>서비스 소개</x:v>
      </x:c>
      <x:c r="D7" s="41" t="str">
        <x:v>프로젝트 소개 표시</x:v>
      </x:c>
      <x:c r="E7" s="29" t="str">
        <x:v>Living Abroad의 목적과 주요 AI 기능을 소개한다.</x:v>
      </x:c>
      <x:c r="F7" s="41" t="str">
        <x:v>전체 사용자</x:v>
      </x:c>
      <x:c r="G7" s="41" t="str">
        <x:v>Must</x:v>
      </x:c>
      <x:c r="H7" s="41" t="str">
        <x:v>Y</x:v>
      </x:c>
      <x:c r="I7" s="41" t="str">
        <x:v>HOME-001</x:v>
      </x:c>
      <x:c r="J7" s="41" t="str">
        <x:v>-</x:v>
      </x:c>
      <x:c r="K7" s="41" t="str">
        <x:v>Frontend</x:v>
      </x:c>
      <x:c r="L7" s="41" t="str">
        <x:v>확정</x:v>
      </x:c>
      <x:c r="M7" s="77" t="str"/>
    </x:row>
    <x:row r="8" ht="42" customHeight="1">
      <x:c r="A8" s="102" t="str">
        <x:v>F-HOME-002</x:v>
      </x:c>
      <x:c r="B8" s="41" t="str">
        <x:v>홈</x:v>
      </x:c>
      <x:c r="C8" s="41" t="str">
        <x:v>지원 범위</x:v>
      </x:c>
      <x:c r="D8" s="41" t="str">
        <x:v>지원 국가·비자 안내</x:v>
      </x:c>
      <x:c r="E8" s="29" t="str">
        <x:v>캐나다, 호주, 영국과 각 대표 비자를 카드 형태로 안내한다.</x:v>
      </x:c>
      <x:c r="F8" s="41" t="str">
        <x:v>전체 사용자</x:v>
      </x:c>
      <x:c r="G8" s="41" t="str">
        <x:v>Must</x:v>
      </x:c>
      <x:c r="H8" s="41" t="str">
        <x:v>Y</x:v>
      </x:c>
      <x:c r="I8" s="41" t="str">
        <x:v>HOME-001</x:v>
      </x:c>
      <x:c r="J8" s="41" t="str">
        <x:v>-</x:v>
      </x:c>
      <x:c r="K8" s="41" t="str">
        <x:v>Frontend</x:v>
      </x:c>
      <x:c r="L8" s="41" t="str">
        <x:v>확정</x:v>
      </x:c>
      <x:c r="M8" s="77" t="str">
        <x:v>국가별 대표 비자 1개</x:v>
      </x:c>
    </x:row>
    <x:row r="9" ht="42" customHeight="1">
      <x:c r="A9" s="102" t="str">
        <x:v>F-HOME-003</x:v>
      </x:c>
      <x:c r="B9" s="41" t="str">
        <x:v>홈</x:v>
      </x:c>
      <x:c r="C9" s="41" t="str">
        <x:v>진입</x:v>
      </x:c>
      <x:c r="D9" s="41" t="str">
        <x:v>AI 분석 시작</x:v>
      </x:c>
      <x:c r="E9" s="29" t="str">
        <x:v>로그인 여부를 확인한 후 분석 1단계 또는 로그인 화면으로 이동한다.</x:v>
      </x:c>
      <x:c r="F9" s="41" t="str">
        <x:v>전체 사용자</x:v>
      </x:c>
      <x:c r="G9" s="41" t="str">
        <x:v>Must</x:v>
      </x:c>
      <x:c r="H9" s="41" t="str">
        <x:v>Y</x:v>
      </x:c>
      <x:c r="I9" s="41" t="str">
        <x:v>HOME-001</x:v>
      </x:c>
      <x:c r="J9" s="41" t="str">
        <x:v>-</x:v>
      </x:c>
      <x:c r="K9" s="41" t="str">
        <x:v>Frontend</x:v>
      </x:c>
      <x:c r="L9" s="41" t="str">
        <x:v>확정</x:v>
      </x:c>
      <x:c r="M9" s="77" t="str"/>
    </x:row>
    <x:row r="10" ht="42" customHeight="1">
      <x:c r="A10" s="102" t="str">
        <x:v>F-HOME-004</x:v>
      </x:c>
      <x:c r="B10" s="41" t="str">
        <x:v>홈</x:v>
      </x:c>
      <x:c r="C10" s="41" t="str">
        <x:v>진입</x:v>
      </x:c>
      <x:c r="D10" s="41" t="str">
        <x:v>AI 상담 이동</x:v>
      </x:c>
      <x:c r="E10" s="29" t="str">
        <x:v>로그인 여부를 확인한 후 AI 상담 화면으로 이동한다.</x:v>
      </x:c>
      <x:c r="F10" s="41" t="str">
        <x:v>전체 사용자</x:v>
      </x:c>
      <x:c r="G10" s="41" t="str">
        <x:v>Could</x:v>
      </x:c>
      <x:c r="H10" s="41" t="str">
        <x:v>Y</x:v>
      </x:c>
      <x:c r="I10" s="41" t="str">
        <x:v>HOME-001</x:v>
      </x:c>
      <x:c r="J10" s="41" t="str">
        <x:v>-</x:v>
      </x:c>
      <x:c r="K10" s="41" t="str">
        <x:v>Frontend</x:v>
      </x:c>
      <x:c r="L10" s="41" t="str">
        <x:v>검토</x:v>
      </x:c>
      <x:c r="M10" s="77" t="str"/>
    </x:row>
    <x:row r="11" ht="42" customHeight="1">
      <x:c r="A11" s="102" t="str">
        <x:v>F-AUTH-001</x:v>
      </x:c>
      <x:c r="B11" s="41" t="str">
        <x:v>인증</x:v>
      </x:c>
      <x:c r="C11" s="41" t="str">
        <x:v>회원가입</x:v>
      </x:c>
      <x:c r="D11" s="41" t="str">
        <x:v>회원가입 탭 전환</x:v>
      </x:c>
      <x:c r="E11" s="29" t="str">
        <x:v>로그인 화면에서 회원가입 입력 폼으로 전환한다.</x:v>
      </x:c>
      <x:c r="F11" s="41" t="str">
        <x:v>비로그인 사용자</x:v>
      </x:c>
      <x:c r="G11" s="41" t="str">
        <x:v>Must</x:v>
      </x:c>
      <x:c r="H11" s="41" t="str">
        <x:v>Y</x:v>
      </x:c>
      <x:c r="I11" s="41" t="str">
        <x:v>AUTH-001</x:v>
      </x:c>
      <x:c r="J11" s="41" t="str">
        <x:v>-</x:v>
      </x:c>
      <x:c r="K11" s="41" t="str">
        <x:v>Frontend</x:v>
      </x:c>
      <x:c r="L11" s="41" t="str">
        <x:v>확정</x:v>
      </x:c>
      <x:c r="M11" s="77" t="str"/>
    </x:row>
    <x:row r="12" ht="42" customHeight="1">
      <x:c r="A12" s="102" t="str">
        <x:v>F-AUTH-002</x:v>
      </x:c>
      <x:c r="B12" s="41" t="str">
        <x:v>인증</x:v>
      </x:c>
      <x:c r="C12" s="41" t="str">
        <x:v>회원가입</x:v>
      </x:c>
      <x:c r="D12" s="41" t="str">
        <x:v>회원가입 입력 검증</x:v>
      </x:c>
      <x:c r="E12" s="29" t="str">
        <x:v>이름, 이메일, 비밀번호의 필수값과 형식을 검증한다.</x:v>
      </x:c>
      <x:c r="F12" s="41" t="str">
        <x:v>비로그인 사용자</x:v>
      </x:c>
      <x:c r="G12" s="41" t="str">
        <x:v>Must</x:v>
      </x:c>
      <x:c r="H12" s="41" t="str">
        <x:v>Y</x:v>
      </x:c>
      <x:c r="I12" s="41" t="str">
        <x:v>AUTH-001</x:v>
      </x:c>
      <x:c r="J12" s="41" t="str">
        <x:v>-</x:v>
      </x:c>
      <x:c r="K12" s="41" t="str">
        <x:v>Frontend</x:v>
      </x:c>
      <x:c r="L12" s="41" t="str">
        <x:v>확정</x:v>
      </x:c>
      <x:c r="M12" s="77" t="str"/>
    </x:row>
    <x:row r="13" ht="42" customHeight="1">
      <x:c r="A13" s="102" t="str">
        <x:v>F-AUTH-003</x:v>
      </x:c>
      <x:c r="B13" s="41" t="str">
        <x:v>인증</x:v>
      </x:c>
      <x:c r="C13" s="41" t="str">
        <x:v>회원가입</x:v>
      </x:c>
      <x:c r="D13" s="41" t="str">
        <x:v>신규 사용자 등록</x:v>
      </x:c>
      <x:c r="E13" s="29" t="str">
        <x:v>중복 이메일을 확인하고 비밀번호를 암호화하여 사용자 계정을 생성한다.</x:v>
      </x:c>
      <x:c r="F13" s="41" t="str">
        <x:v>비로그인 사용자</x:v>
      </x:c>
      <x:c r="G13" s="41" t="str">
        <x:v>Must</x:v>
      </x:c>
      <x:c r="H13" s="41" t="str">
        <x:v>Y</x:v>
      </x:c>
      <x:c r="I13" s="41" t="str">
        <x:v>AUTH-001</x:v>
      </x:c>
      <x:c r="J13" s="41" t="str">
        <x:v>POST /api/auth/signup</x:v>
      </x:c>
      <x:c r="K13" s="41" t="str">
        <x:v>Backend</x:v>
      </x:c>
      <x:c r="L13" s="41" t="str">
        <x:v>확정</x:v>
      </x:c>
      <x:c r="M13" s="77" t="str"/>
    </x:row>
    <x:row r="14" ht="42" customHeight="1">
      <x:c r="A14" s="102" t="str">
        <x:v>F-AUTH-004</x:v>
      </x:c>
      <x:c r="B14" s="41" t="str">
        <x:v>인증</x:v>
      </x:c>
      <x:c r="C14" s="41" t="str">
        <x:v>로그인</x:v>
      </x:c>
      <x:c r="D14" s="41" t="str">
        <x:v>로그인 입력 검증</x:v>
      </x:c>
      <x:c r="E14" s="29" t="str">
        <x:v>이메일과 비밀번호 입력 여부 및 이메일 형식을 검증한다.</x:v>
      </x:c>
      <x:c r="F14" s="41" t="str">
        <x:v>비로그인 사용자</x:v>
      </x:c>
      <x:c r="G14" s="41" t="str">
        <x:v>Must</x:v>
      </x:c>
      <x:c r="H14" s="41" t="str">
        <x:v>Y</x:v>
      </x:c>
      <x:c r="I14" s="41" t="str">
        <x:v>AUTH-001</x:v>
      </x:c>
      <x:c r="J14" s="41" t="str">
        <x:v>-</x:v>
      </x:c>
      <x:c r="K14" s="41" t="str">
        <x:v>Frontend</x:v>
      </x:c>
      <x:c r="L14" s="41" t="str">
        <x:v>확정</x:v>
      </x:c>
      <x:c r="M14" s="77" t="str"/>
    </x:row>
    <x:row r="15" ht="42" customHeight="1">
      <x:c r="A15" s="102" t="str">
        <x:v>F-AUTH-005</x:v>
      </x:c>
      <x:c r="B15" s="41" t="str">
        <x:v>인증</x:v>
      </x:c>
      <x:c r="C15" s="41" t="str">
        <x:v>로그인</x:v>
      </x:c>
      <x:c r="D15" s="41" t="str">
        <x:v>사용자 로그인</x:v>
      </x:c>
      <x:c r="E15" s="29" t="str">
        <x:v>사용자 인증 후 JWT를 발급하고 프론트엔드에 반환한다.</x:v>
      </x:c>
      <x:c r="F15" s="41" t="str">
        <x:v>비로그인 사용자</x:v>
      </x:c>
      <x:c r="G15" s="41" t="str">
        <x:v>Must</x:v>
      </x:c>
      <x:c r="H15" s="41" t="str">
        <x:v>Y</x:v>
      </x:c>
      <x:c r="I15" s="41" t="str">
        <x:v>AUTH-001</x:v>
      </x:c>
      <x:c r="J15" s="41" t="str">
        <x:v>POST /api/auth/login</x:v>
      </x:c>
      <x:c r="K15" s="41" t="str">
        <x:v>Backend</x:v>
      </x:c>
      <x:c r="L15" s="41" t="str">
        <x:v>확정</x:v>
      </x:c>
      <x:c r="M15" s="77" t="str"/>
    </x:row>
    <x:row r="16" ht="42" customHeight="1">
      <x:c r="A16" s="102" t="str">
        <x:v>F-AUTH-006</x:v>
      </x:c>
      <x:c r="B16" s="41" t="str">
        <x:v>인증</x:v>
      </x:c>
      <x:c r="C16" s="41" t="str">
        <x:v>세션</x:v>
      </x:c>
      <x:c r="D16" s="41" t="str">
        <x:v>JWT 저장 및 인증 헤더 적용</x:v>
      </x:c>
      <x:c r="E16" s="29" t="str">
        <x:v>발급받은 JWT를 저장하고 보호 API 요청에 Authorization 헤더를 추가한다.</x:v>
      </x:c>
      <x:c r="F16" s="41" t="str">
        <x:v>로그인 사용자</x:v>
      </x:c>
      <x:c r="G16" s="41" t="str">
        <x:v>Must</x:v>
      </x:c>
      <x:c r="H16" s="41" t="str">
        <x:v>Y</x:v>
      </x:c>
      <x:c r="I16" s="41" t="str">
        <x:v>전체 보호 화면</x:v>
      </x:c>
      <x:c r="J16" s="41" t="str">
        <x:v>전체 보호 API</x:v>
      </x:c>
      <x:c r="K16" s="41" t="str">
        <x:v>Frontend</x:v>
      </x:c>
      <x:c r="L16" s="41" t="str">
        <x:v>확정</x:v>
      </x:c>
      <x:c r="M16" s="77" t="str"/>
    </x:row>
    <x:row r="17" ht="42" customHeight="1">
      <x:c r="A17" s="102" t="str">
        <x:v>F-AUTH-007</x:v>
      </x:c>
      <x:c r="B17" s="41" t="str">
        <x:v>인증</x:v>
      </x:c>
      <x:c r="C17" s="41" t="str">
        <x:v>로그아웃</x:v>
      </x:c>
      <x:c r="D17" s="41" t="str">
        <x:v>로그아웃</x:v>
      </x:c>
      <x:c r="E17" s="29" t="str">
        <x:v>저장된 인증 정보와 사용자 상태를 제거하고 홈으로 이동한다.</x:v>
      </x:c>
      <x:c r="F17" s="41" t="str">
        <x:v>로그인 사용자</x:v>
      </x:c>
      <x:c r="G17" s="41" t="str">
        <x:v>Must</x:v>
      </x:c>
      <x:c r="H17" s="41" t="str">
        <x:v>Y</x:v>
      </x:c>
      <x:c r="I17" s="41" t="str">
        <x:v>공통 헤더</x:v>
      </x:c>
      <x:c r="J17" s="41" t="str">
        <x:v>-</x:v>
      </x:c>
      <x:c r="K17" s="41" t="str">
        <x:v>Frontend</x:v>
      </x:c>
      <x:c r="L17" s="41" t="str">
        <x:v>확정</x:v>
      </x:c>
      <x:c r="M17" s="77" t="str"/>
    </x:row>
    <x:row r="18" ht="42" customHeight="1">
      <x:c r="A18" s="102" t="str">
        <x:v>F-PROF-001</x:v>
      </x:c>
      <x:c r="B18" s="41" t="str">
        <x:v>프로필</x:v>
      </x:c>
      <x:c r="C18" s="41" t="str">
        <x:v>조회</x:v>
      </x:c>
      <x:c r="D18" s="41" t="str">
        <x:v>내 프로필 조회</x:v>
      </x:c>
      <x:c r="E18" s="29" t="str">
        <x:v>로그인 사용자의 기존 기본 정보를 불러와 분석 입력 화면에 표시한다.</x:v>
      </x:c>
      <x:c r="F18" s="41" t="str">
        <x:v>로그인 사용자</x:v>
      </x:c>
      <x:c r="G18" s="41" t="str">
        <x:v>Should</x:v>
      </x:c>
      <x:c r="H18" s="41" t="str">
        <x:v>Y</x:v>
      </x:c>
      <x:c r="I18" s="41" t="str">
        <x:v>ANA-001, MY-001</x:v>
      </x:c>
      <x:c r="J18" s="41" t="str">
        <x:v>GET /api/users/me/profile</x:v>
      </x:c>
      <x:c r="K18" s="41" t="str">
        <x:v>Backend</x:v>
      </x:c>
      <x:c r="L18" s="41" t="str">
        <x:v>확정</x:v>
      </x:c>
      <x:c r="M18" s="77" t="str"/>
    </x:row>
    <x:row r="19" ht="42" customHeight="1">
      <x:c r="A19" s="102" t="str">
        <x:v>F-PROF-002</x:v>
      </x:c>
      <x:c r="B19" s="41" t="str">
        <x:v>프로필</x:v>
      </x:c>
      <x:c r="C19" s="41" t="str">
        <x:v>입력</x:v>
      </x:c>
      <x:c r="D19" s="41" t="str">
        <x:v>기본 정보 입력</x:v>
      </x:c>
      <x:c r="E19" s="29" t="str">
        <x:v>나이, 최종 학력, 전공을 입력받는다.</x:v>
      </x:c>
      <x:c r="F19" s="41" t="str">
        <x:v>로그인 사용자</x:v>
      </x:c>
      <x:c r="G19" s="41" t="str">
        <x:v>Must</x:v>
      </x:c>
      <x:c r="H19" s="41" t="str">
        <x:v>Y</x:v>
      </x:c>
      <x:c r="I19" s="41" t="str">
        <x:v>ANA-001</x:v>
      </x:c>
      <x:c r="J19" s="41" t="str">
        <x:v>-</x:v>
      </x:c>
      <x:c r="K19" s="41" t="str">
        <x:v>Frontend</x:v>
      </x:c>
      <x:c r="L19" s="41" t="str">
        <x:v>확정</x:v>
      </x:c>
      <x:c r="M19" s="77" t="str"/>
    </x:row>
    <x:row r="20" ht="42" customHeight="1">
      <x:c r="A20" s="102" t="str">
        <x:v>F-PROF-003</x:v>
      </x:c>
      <x:c r="B20" s="41" t="str">
        <x:v>프로필</x:v>
      </x:c>
      <x:c r="C20" s="41" t="str">
        <x:v>입력</x:v>
      </x:c>
      <x:c r="D20" s="41" t="str">
        <x:v>경력 정보 입력</x:v>
      </x:c>
      <x:c r="E20" s="29" t="str">
        <x:v>현재 직업과 관련 경력 연수를 입력받는다.</x:v>
      </x:c>
      <x:c r="F20" s="41" t="str">
        <x:v>로그인 사용자</x:v>
      </x:c>
      <x:c r="G20" s="41" t="str">
        <x:v>Must</x:v>
      </x:c>
      <x:c r="H20" s="41" t="str">
        <x:v>Y</x:v>
      </x:c>
      <x:c r="I20" s="41" t="str">
        <x:v>ANA-001</x:v>
      </x:c>
      <x:c r="J20" s="41" t="str">
        <x:v>-</x:v>
      </x:c>
      <x:c r="K20" s="41" t="str">
        <x:v>Frontend</x:v>
      </x:c>
      <x:c r="L20" s="41" t="str">
        <x:v>확정</x:v>
      </x:c>
      <x:c r="M20" s="77" t="str"/>
    </x:row>
    <x:row r="21" ht="42" customHeight="1">
      <x:c r="A21" s="102" t="str">
        <x:v>F-PROF-004</x:v>
      </x:c>
      <x:c r="B21" s="41" t="str">
        <x:v>프로필</x:v>
      </x:c>
      <x:c r="C21" s="41" t="str">
        <x:v>검증</x:v>
      </x:c>
      <x:c r="D21" s="41" t="str">
        <x:v>프로필 입력값 검증</x:v>
      </x:c>
      <x:c r="E21" s="29" t="str">
        <x:v>나이 범위, 문자열 길이, 경력 연수 범위를 검증한다.</x:v>
      </x:c>
      <x:c r="F21" s="41" t="str">
        <x:v>로그인 사용자</x:v>
      </x:c>
      <x:c r="G21" s="41" t="str">
        <x:v>Must</x:v>
      </x:c>
      <x:c r="H21" s="41" t="str">
        <x:v>Y</x:v>
      </x:c>
      <x:c r="I21" s="41" t="str">
        <x:v>ANA-001</x:v>
      </x:c>
      <x:c r="J21" s="41" t="str">
        <x:v>-</x:v>
      </x:c>
      <x:c r="K21" s="41" t="str">
        <x:v>Frontend/Backend</x:v>
      </x:c>
      <x:c r="L21" s="41" t="str">
        <x:v>확정</x:v>
      </x:c>
      <x:c r="M21" s="77" t="str"/>
    </x:row>
    <x:row r="22" ht="42" customHeight="1">
      <x:c r="A22" s="102" t="str">
        <x:v>F-PROF-005</x:v>
      </x:c>
      <x:c r="B22" s="41" t="str">
        <x:v>프로필</x:v>
      </x:c>
      <x:c r="C22" s="41" t="str">
        <x:v>저장</x:v>
      </x:c>
      <x:c r="D22" s="41" t="str">
        <x:v>프로필 저장·수정</x:v>
      </x:c>
      <x:c r="E22" s="29" t="str">
        <x:v>사용자의 분석용 프로필을 신규 저장하거나 수정한다.</x:v>
      </x:c>
      <x:c r="F22" s="41" t="str">
        <x:v>로그인 사용자</x:v>
      </x:c>
      <x:c r="G22" s="41" t="str">
        <x:v>Must</x:v>
      </x:c>
      <x:c r="H22" s="41" t="str">
        <x:v>Y</x:v>
      </x:c>
      <x:c r="I22" s="41" t="str">
        <x:v>ANA-001, MY-001</x:v>
      </x:c>
      <x:c r="J22" s="41" t="str">
        <x:v>PUT /api/users/me/profile</x:v>
      </x:c>
      <x:c r="K22" s="41" t="str">
        <x:v>Backend</x:v>
      </x:c>
      <x:c r="L22" s="41" t="str">
        <x:v>확정</x:v>
      </x:c>
      <x:c r="M22" s="77" t="str"/>
    </x:row>
    <x:row r="23" ht="42" customHeight="1">
      <x:c r="A23" s="102" t="str">
        <x:v>F-ANA-001</x:v>
      </x:c>
      <x:c r="B23" s="41" t="str">
        <x:v>AI 분석</x:v>
      </x:c>
      <x:c r="C23" s="41" t="str">
        <x:v>입력</x:v>
      </x:c>
      <x:c r="D23" s="41" t="str">
        <x:v>언어시험 정보 입력</x:v>
      </x:c>
      <x:c r="E23" s="29" t="str">
        <x:v>언어시험 종류와 점수를 입력받고 시험별 범위를 검증한다.</x:v>
      </x:c>
      <x:c r="F23" s="41" t="str">
        <x:v>로그인 사용자</x:v>
      </x:c>
      <x:c r="G23" s="41" t="str">
        <x:v>Must</x:v>
      </x:c>
      <x:c r="H23" s="41" t="str">
        <x:v>Y</x:v>
      </x:c>
      <x:c r="I23" s="41" t="str">
        <x:v>ANA-002</x:v>
      </x:c>
      <x:c r="J23" s="41" t="str">
        <x:v>-</x:v>
      </x:c>
      <x:c r="K23" s="41" t="str">
        <x:v>Frontend/Backend</x:v>
      </x:c>
      <x:c r="L23" s="41" t="str">
        <x:v>확정</x:v>
      </x:c>
      <x:c r="M23" s="77" t="str"/>
    </x:row>
    <x:row r="24" ht="42" customHeight="1">
      <x:c r="A24" s="102" t="str">
        <x:v>F-ANA-002</x:v>
      </x:c>
      <x:c r="B24" s="41" t="str">
        <x:v>AI 분석</x:v>
      </x:c>
      <x:c r="C24" s="41" t="str">
        <x:v>입력</x:v>
      </x:c>
      <x:c r="D24" s="41" t="str">
        <x:v>이주 조건 입력</x:v>
      </x:c>
      <x:c r="E24" s="29" t="str">
        <x:v>보유 자금, 가족 동반 여부, 선호 국가를 입력받는다.</x:v>
      </x:c>
      <x:c r="F24" s="41" t="str">
        <x:v>로그인 사용자</x:v>
      </x:c>
      <x:c r="G24" s="41" t="str">
        <x:v>Must</x:v>
      </x:c>
      <x:c r="H24" s="41" t="str">
        <x:v>Y</x:v>
      </x:c>
      <x:c r="I24" s="41" t="str">
        <x:v>ANA-002</x:v>
      </x:c>
      <x:c r="J24" s="41" t="str">
        <x:v>-</x:v>
      </x:c>
      <x:c r="K24" s="41" t="str">
        <x:v>Frontend</x:v>
      </x:c>
      <x:c r="L24" s="41" t="str">
        <x:v>확정</x:v>
      </x:c>
      <x:c r="M24" s="77" t="str"/>
    </x:row>
    <x:row r="25" ht="42" customHeight="1">
      <x:c r="A25" s="102" t="str">
        <x:v>F-ANA-003</x:v>
      </x:c>
      <x:c r="B25" s="41" t="str">
        <x:v>AI 분석</x:v>
      </x:c>
      <x:c r="C25" s="41" t="str">
        <x:v>입력</x:v>
      </x:c>
      <x:c r="D25" s="41" t="str">
        <x:v>경력기술서 입력</x:v>
      </x:c>
      <x:c r="E25" s="29" t="str">
        <x:v>직업 매칭을 위한 경력과 담당 업무 설명을 입력받는다.</x:v>
      </x:c>
      <x:c r="F25" s="41" t="str">
        <x:v>로그인 사용자</x:v>
      </x:c>
      <x:c r="G25" s="41" t="str">
        <x:v>Must</x:v>
      </x:c>
      <x:c r="H25" s="41" t="str">
        <x:v>Y</x:v>
      </x:c>
      <x:c r="I25" s="41" t="str">
        <x:v>ANA-002</x:v>
      </x:c>
      <x:c r="J25" s="41" t="str">
        <x:v>-</x:v>
      </x:c>
      <x:c r="K25" s="41" t="str">
        <x:v>Frontend/Backend</x:v>
      </x:c>
      <x:c r="L25" s="41" t="str">
        <x:v>확정</x:v>
      </x:c>
      <x:c r="M25" s="77" t="str">
        <x:v>100~2000자 권장</x:v>
      </x:c>
    </x:row>
    <x:row r="26" ht="42" customHeight="1">
      <x:c r="A26" s="102" t="str">
        <x:v>F-ANA-004</x:v>
      </x:c>
      <x:c r="B26" s="41" t="str">
        <x:v>AI 분석</x:v>
      </x:c>
      <x:c r="C26" s="41" t="str">
        <x:v>요청</x:v>
      </x:c>
      <x:c r="D26" s="41" t="str">
        <x:v>분석 요청 생성</x:v>
      </x:c>
      <x:c r="E26" s="29" t="str">
        <x:v>입력값과 사용자 정보를 저장하고 분석 ID와 PENDING 상태를 생성한다.</x:v>
      </x:c>
      <x:c r="F26" s="41" t="str">
        <x:v>로그인 사용자</x:v>
      </x:c>
      <x:c r="G26" s="41" t="str">
        <x:v>Must</x:v>
      </x:c>
      <x:c r="H26" s="41" t="str">
        <x:v>Y</x:v>
      </x:c>
      <x:c r="I26" s="41" t="str">
        <x:v>ANA-002</x:v>
      </x:c>
      <x:c r="J26" s="41" t="str">
        <x:v>POST /api/analyses</x:v>
      </x:c>
      <x:c r="K26" s="41" t="str">
        <x:v>Backend</x:v>
      </x:c>
      <x:c r="L26" s="41" t="str">
        <x:v>확정</x:v>
      </x:c>
      <x:c r="M26" s="77" t="str"/>
    </x:row>
    <x:row r="27" ht="42" customHeight="1">
      <x:c r="A27" s="102" t="str">
        <x:v>F-ANA-005</x:v>
      </x:c>
      <x:c r="B27" s="41" t="str">
        <x:v>AI 분석</x:v>
      </x:c>
      <x:c r="C27" s="41" t="str">
        <x:v>진행</x:v>
      </x:c>
      <x:c r="D27" s="41" t="str">
        <x:v>분석 상태 조회</x:v>
      </x:c>
      <x:c r="E27" s="29" t="str">
        <x:v>분석 완료 또는 실패까지 분석 상태를 주기적으로 조회한다.</x:v>
      </x:c>
      <x:c r="F27" s="41" t="str">
        <x:v>로그인 사용자</x:v>
      </x:c>
      <x:c r="G27" s="41" t="str">
        <x:v>Must</x:v>
      </x:c>
      <x:c r="H27" s="41" t="str">
        <x:v>Y</x:v>
      </x:c>
      <x:c r="I27" s="41" t="str">
        <x:v>ANA-003</x:v>
      </x:c>
      <x:c r="J27" s="41" t="str">
        <x:v>GET /api/analyses/{analysisId}</x:v>
      </x:c>
      <x:c r="K27" s="41" t="str">
        <x:v>Frontend/Backend</x:v>
      </x:c>
      <x:c r="L27" s="41" t="str">
        <x:v>확정</x:v>
      </x:c>
      <x:c r="M27" s="77" t="str">
        <x:v>2~3초 간격</x:v>
      </x:c>
    </x:row>
    <x:row r="28" ht="42" customHeight="1">
      <x:c r="A28" s="102" t="str">
        <x:v>F-ANA-006</x:v>
      </x:c>
      <x:c r="B28" s="41" t="str">
        <x:v>AI 분석</x:v>
      </x:c>
      <x:c r="C28" s="41" t="str">
        <x:v>진행</x:v>
      </x:c>
      <x:c r="D28" s="41" t="str">
        <x:v>분석 진행 문구 표시</x:v>
      </x:c>
      <x:c r="E28" s="29" t="str">
        <x:v>비자 규칙, 국가 환경, 경력 매칭 등 현재 분석 단계를 안내한다.</x:v>
      </x:c>
      <x:c r="F28" s="41" t="str">
        <x:v>로그인 사용자</x:v>
      </x:c>
      <x:c r="G28" s="41" t="str">
        <x:v>Could</x:v>
      </x:c>
      <x:c r="H28" s="41" t="str">
        <x:v>Y</x:v>
      </x:c>
      <x:c r="I28" s="41" t="str">
        <x:v>ANA-003</x:v>
      </x:c>
      <x:c r="J28" s="41" t="str">
        <x:v>-</x:v>
      </x:c>
      <x:c r="K28" s="41" t="str">
        <x:v>Frontend</x:v>
      </x:c>
      <x:c r="L28" s="41" t="str">
        <x:v>확정</x:v>
      </x:c>
      <x:c r="M28" s="77" t="str"/>
    </x:row>
    <x:row r="29" ht="42" customHeight="1">
      <x:c r="A29" s="102" t="str">
        <x:v>F-ANA-007</x:v>
      </x:c>
      <x:c r="B29" s="41" t="str">
        <x:v>AI 분석</x:v>
      </x:c>
      <x:c r="C29" s="41" t="str">
        <x:v>재시도</x:v>
      </x:c>
      <x:c r="D29" s="41" t="str">
        <x:v>분석 실패 재시도</x:v>
      </x:c>
      <x:c r="E29" s="29" t="str">
        <x:v>AI 서버 오류 발생 시 사용자에게 오류를 안내하고 재시도를 제공한다.</x:v>
      </x:c>
      <x:c r="F29" s="41" t="str">
        <x:v>로그인 사용자</x:v>
      </x:c>
      <x:c r="G29" s="41" t="str">
        <x:v>Should</x:v>
      </x:c>
      <x:c r="H29" s="41" t="str">
        <x:v>Y</x:v>
      </x:c>
      <x:c r="I29" s="41" t="str">
        <x:v>ANA-003</x:v>
      </x:c>
      <x:c r="J29" s="41" t="str">
        <x:v>POST /api/analyses</x:v>
      </x:c>
      <x:c r="K29" s="41" t="str">
        <x:v>Frontend/Backend</x:v>
      </x:c>
      <x:c r="L29" s="41" t="str">
        <x:v>검토</x:v>
      </x:c>
      <x:c r="M29" s="77" t="str"/>
    </x:row>
    <x:row r="30" ht="42" customHeight="1">
      <x:c r="A30" s="102" t="str">
        <x:v>F-AI-001</x:v>
      </x:c>
      <x:c r="B30" s="41" t="str">
        <x:v>AI 엔진</x:v>
      </x:c>
      <x:c r="C30" s="41" t="str">
        <x:v>규칙 기반</x:v>
      </x:c>
      <x:c r="D30" s="41" t="str">
        <x:v>캐나다 비자 규칙 분석</x:v>
      </x:c>
      <x:c r="E30" s="29" t="str">
        <x:v>사용자 입력을 캐나다 Express Entry FSW 조건과 비교하여 규칙 점수를 산출한다.</x:v>
      </x:c>
      <x:c r="F30" s="41" t="str">
        <x:v>시스템</x:v>
      </x:c>
      <x:c r="G30" s="41" t="str">
        <x:v>Must</x:v>
      </x:c>
      <x:c r="H30" s="41" t="str">
        <x:v>Y</x:v>
      </x:c>
      <x:c r="I30" s="41" t="str">
        <x:v>-</x:v>
      </x:c>
      <x:c r="J30" s="41" t="str">
        <x:v>POST /ai/recommend</x:v>
      </x:c>
      <x:c r="K30" s="41" t="str">
        <x:v>AI Server</x:v>
      </x:c>
      <x:c r="L30" s="41" t="str">
        <x:v>확정</x:v>
      </x:c>
      <x:c r="M30" s="77" t="str">
        <x:v>공식 정책 기반</x:v>
      </x:c>
    </x:row>
    <x:row r="31" ht="42" customHeight="1">
      <x:c r="A31" s="102" t="str">
        <x:v>F-AI-002</x:v>
      </x:c>
      <x:c r="B31" s="41" t="str">
        <x:v>AI 엔진</x:v>
      </x:c>
      <x:c r="C31" s="41" t="str">
        <x:v>규칙 기반</x:v>
      </x:c>
      <x:c r="D31" s="41" t="str">
        <x:v>호주 비자 규칙 분석</x:v>
      </x:c>
      <x:c r="E31" s="29" t="str">
        <x:v>사용자 입력을 호주 Subclass 189 조건과 비교하여 규칙 점수를 산출한다.</x:v>
      </x:c>
      <x:c r="F31" s="41" t="str">
        <x:v>시스템</x:v>
      </x:c>
      <x:c r="G31" s="41" t="str">
        <x:v>Must</x:v>
      </x:c>
      <x:c r="H31" s="41" t="str">
        <x:v>Y</x:v>
      </x:c>
      <x:c r="I31" s="41" t="str">
        <x:v>-</x:v>
      </x:c>
      <x:c r="J31" s="41" t="str">
        <x:v>POST /ai/recommend</x:v>
      </x:c>
      <x:c r="K31" s="41" t="str">
        <x:v>AI Server</x:v>
      </x:c>
      <x:c r="L31" s="41" t="str">
        <x:v>확정</x:v>
      </x:c>
      <x:c r="M31" s="77" t="str">
        <x:v>공식 정책 기반</x:v>
      </x:c>
    </x:row>
    <x:row r="32" ht="42" customHeight="1">
      <x:c r="A32" s="102" t="str">
        <x:v>F-AI-003</x:v>
      </x:c>
      <x:c r="B32" s="41" t="str">
        <x:v>AI 엔진</x:v>
      </x:c>
      <x:c r="C32" s="41" t="str">
        <x:v>규칙 기반</x:v>
      </x:c>
      <x:c r="D32" s="41" t="str">
        <x:v>영국 비자 규칙 분석</x:v>
      </x:c>
      <x:c r="E32" s="29" t="str">
        <x:v>사용자 입력을 영국 Skilled Worker 조건과 비교하여 규칙 점수를 산출한다.</x:v>
      </x:c>
      <x:c r="F32" s="41" t="str">
        <x:v>시스템</x:v>
      </x:c>
      <x:c r="G32" s="41" t="str">
        <x:v>Must</x:v>
      </x:c>
      <x:c r="H32" s="41" t="str">
        <x:v>Y</x:v>
      </x:c>
      <x:c r="I32" s="41" t="str">
        <x:v>-</x:v>
      </x:c>
      <x:c r="J32" s="41" t="str">
        <x:v>POST /ai/recommend</x:v>
      </x:c>
      <x:c r="K32" s="41" t="str">
        <x:v>AI Server</x:v>
      </x:c>
      <x:c r="L32" s="41" t="str">
        <x:v>확정</x:v>
      </x:c>
      <x:c r="M32" s="77" t="str">
        <x:v>스폰서·Job Offer는 추가 확인</x:v>
      </x:c>
    </x:row>
    <x:row r="33" ht="42" customHeight="1">
      <x:c r="A33" s="102" t="str">
        <x:v>F-AI-004</x:v>
      </x:c>
      <x:c r="B33" s="41" t="str">
        <x:v>AI 엔진</x:v>
      </x:c>
      <x:c r="C33" s="41" t="str">
        <x:v>Machine Learning</x:v>
      </x:c>
      <x:c r="D33" s="41" t="str">
        <x:v>국가 환경 군집 분석</x:v>
      </x:c>
      <x:c r="E33" s="29" t="str">
        <x:v>국가 환경 데이터와 K-Means 모델을 이용해 국가별 환경 유형을 분류한다.</x:v>
      </x:c>
      <x:c r="F33" s="41" t="str">
        <x:v>시스템</x:v>
      </x:c>
      <x:c r="G33" s="41" t="str">
        <x:v>Must</x:v>
      </x:c>
      <x:c r="H33" s="41" t="str">
        <x:v>Y</x:v>
      </x:c>
      <x:c r="I33" s="41" t="str">
        <x:v>-</x:v>
      </x:c>
      <x:c r="J33" s="41" t="str">
        <x:v>POST /ai/recommend</x:v>
      </x:c>
      <x:c r="K33" s="41" t="str">
        <x:v>AI Server</x:v>
      </x:c>
      <x:c r="L33" s="41" t="str">
        <x:v>확정</x:v>
      </x:c>
      <x:c r="M33" s="77" t="str">
        <x:v>36개국 데이터로 학습</x:v>
      </x:c>
    </x:row>
    <x:row r="34" ht="42" customHeight="1">
      <x:c r="A34" s="102" t="str">
        <x:v>F-AI-005</x:v>
      </x:c>
      <x:c r="B34" s="41" t="str">
        <x:v>AI 엔진</x:v>
      </x:c>
      <x:c r="C34" s="41" t="str">
        <x:v>Machine Learning</x:v>
      </x:c>
      <x:c r="D34" s="41" t="str">
        <x:v>국가 환경 점수 산출</x:v>
      </x:c>
      <x:c r="E34" s="29" t="str">
        <x:v>이민·고용·교육·정착 관련 지표를 이용해 국가 환경 점수를 계산한다.</x:v>
      </x:c>
      <x:c r="F34" s="41" t="str">
        <x:v>시스템</x:v>
      </x:c>
      <x:c r="G34" s="41" t="str">
        <x:v>Must</x:v>
      </x:c>
      <x:c r="H34" s="41" t="str">
        <x:v>Y</x:v>
      </x:c>
      <x:c r="I34" s="41" t="str">
        <x:v>-</x:v>
      </x:c>
      <x:c r="J34" s="41" t="str">
        <x:v>POST /ai/recommend</x:v>
      </x:c>
      <x:c r="K34" s="41" t="str">
        <x:v>AI Server</x:v>
      </x:c>
      <x:c r="L34" s="41" t="str">
        <x:v>확정</x:v>
      </x:c>
      <x:c r="M34" s="77" t="str">
        <x:v>승인 확률 아님</x:v>
      </x:c>
    </x:row>
    <x:row r="35" ht="42" customHeight="1">
      <x:c r="A35" s="102" t="str">
        <x:v>F-AI-006</x:v>
      </x:c>
      <x:c r="B35" s="41" t="str">
        <x:v>AI 엔진</x:v>
      </x:c>
      <x:c r="C35" s="41" t="str">
        <x:v>Deep Learning</x:v>
      </x:c>
      <x:c r="D35" s="41" t="str">
        <x:v>경력기술서 임베딩 생성</x:v>
      </x:c>
      <x:c r="E35" s="29" t="str">
        <x:v>사용자의 경력기술서를 다국어 Sentence Transformer로 임베딩한다.</x:v>
      </x:c>
      <x:c r="F35" s="41" t="str">
        <x:v>시스템</x:v>
      </x:c>
      <x:c r="G35" s="41" t="str">
        <x:v>Must</x:v>
      </x:c>
      <x:c r="H35" s="41" t="str">
        <x:v>Y</x:v>
      </x:c>
      <x:c r="I35" s="41" t="str">
        <x:v>-</x:v>
      </x:c>
      <x:c r="J35" s="41" t="str">
        <x:v>POST /ai/recommend</x:v>
      </x:c>
      <x:c r="K35" s="41" t="str">
        <x:v>AI Server</x:v>
      </x:c>
      <x:c r="L35" s="41" t="str">
        <x:v>확정</x:v>
      </x:c>
      <x:c r="M35" s="77" t="str">
        <x:v>multilingual-e5-base</x:v>
      </x:c>
    </x:row>
    <x:row r="36" ht="42" customHeight="1">
      <x:c r="A36" s="102" t="str">
        <x:v>F-AI-007</x:v>
      </x:c>
      <x:c r="B36" s="41" t="str">
        <x:v>AI 엔진</x:v>
      </x:c>
      <x:c r="C36" s="41" t="str">
        <x:v>Deep Learning</x:v>
      </x:c>
      <x:c r="D36" s="41" t="str">
        <x:v>국가별 직업 유사도 계산</x:v>
      </x:c>
      <x:c r="E36" s="29" t="str">
        <x:v>사용자 경력 임베딩과 NOC·ANZSCO·SOC 직업 임베딩의 코사인 유사도를 계산한다.</x:v>
      </x:c>
      <x:c r="F36" s="41" t="str">
        <x:v>시스템</x:v>
      </x:c>
      <x:c r="G36" s="41" t="str">
        <x:v>Must</x:v>
      </x:c>
      <x:c r="H36" s="41" t="str">
        <x:v>Y</x:v>
      </x:c>
      <x:c r="I36" s="41" t="str">
        <x:v>-</x:v>
      </x:c>
      <x:c r="J36" s="41" t="str">
        <x:v>POST /ai/recommend</x:v>
      </x:c>
      <x:c r="K36" s="41" t="str">
        <x:v>AI Server</x:v>
      </x:c>
      <x:c r="L36" s="41" t="str">
        <x:v>확정</x:v>
      </x:c>
      <x:c r="M36" s="77" t="str">
        <x:v>국가별 TOP 3 직업</x:v>
      </x:c>
    </x:row>
    <x:row r="37" ht="42" customHeight="1">
      <x:c r="A37" s="102" t="str">
        <x:v>F-AI-008</x:v>
      </x:c>
      <x:c r="B37" s="41" t="str">
        <x:v>AI 엔진</x:v>
      </x:c>
      <x:c r="C37" s="41" t="str">
        <x:v>점수 계산</x:v>
      </x:c>
      <x:c r="D37" s="41" t="str">
        <x:v>사용자 선호 점수 산출</x:v>
      </x:c>
      <x:c r="E37" s="29" t="str">
        <x:v>선호 국가와 분석 국가의 일치 여부를 기준으로 선호 점수를 계산한다.</x:v>
      </x:c>
      <x:c r="F37" s="41" t="str">
        <x:v>시스템</x:v>
      </x:c>
      <x:c r="G37" s="41" t="str">
        <x:v>Should</x:v>
      </x:c>
      <x:c r="H37" s="41" t="str">
        <x:v>Y</x:v>
      </x:c>
      <x:c r="I37" s="41" t="str">
        <x:v>-</x:v>
      </x:c>
      <x:c r="J37" s="41" t="str">
        <x:v>POST /ai/recommend</x:v>
      </x:c>
      <x:c r="K37" s="41" t="str">
        <x:v>AI Server</x:v>
      </x:c>
      <x:c r="L37" s="41" t="str">
        <x:v>확정</x:v>
      </x:c>
      <x:c r="M37" s="77" t="str"/>
    </x:row>
    <x:row r="38" ht="42" customHeight="1">
      <x:c r="A38" s="102" t="str">
        <x:v>F-AI-009</x:v>
      </x:c>
      <x:c r="B38" s="41" t="str">
        <x:v>AI 엔진</x:v>
      </x:c>
      <x:c r="C38" s="41" t="str">
        <x:v>점수 계산</x:v>
      </x:c>
      <x:c r="D38" s="41" t="str">
        <x:v>종합 적합도 계산</x:v>
      </x:c>
      <x:c r="E38" s="29" t="str">
        <x:v>규칙, 국가 환경, 경력 유사도, 선호 점수를 가중 합산한다.</x:v>
      </x:c>
      <x:c r="F38" s="41" t="str">
        <x:v>시스템</x:v>
      </x:c>
      <x:c r="G38" s="41" t="str">
        <x:v>Must</x:v>
      </x:c>
      <x:c r="H38" s="41" t="str">
        <x:v>Y</x:v>
      </x:c>
      <x:c r="I38" s="41" t="str">
        <x:v>-</x:v>
      </x:c>
      <x:c r="J38" s="41" t="str">
        <x:v>POST /ai/recommend</x:v>
      </x:c>
      <x:c r="K38" s="41" t="str">
        <x:v>AI Server</x:v>
      </x:c>
      <x:c r="L38" s="41" t="str">
        <x:v>확정</x:v>
      </x:c>
      <x:c r="M38" s="77" t="str">
        <x:v>45/25/20/10 가중치</x:v>
      </x:c>
    </x:row>
    <x:row r="39" ht="42" customHeight="1">
      <x:c r="A39" s="102" t="str">
        <x:v>F-AI-010</x:v>
      </x:c>
      <x:c r="B39" s="41" t="str">
        <x:v>AI 엔진</x:v>
      </x:c>
      <x:c r="C39" s="41" t="str">
        <x:v>결과 생성</x:v>
      </x:c>
      <x:c r="D39" s="41" t="str">
        <x:v>국가 추천 순위 생성</x:v>
      </x:c>
      <x:c r="E39" s="29" t="str">
        <x:v>캐나다·호주·영국의 종합 점수를 내림차순으로 정렬하고 TOP 3를 생성한다.</x:v>
      </x:c>
      <x:c r="F39" s="41" t="str">
        <x:v>시스템</x:v>
      </x:c>
      <x:c r="G39" s="41" t="str">
        <x:v>Must</x:v>
      </x:c>
      <x:c r="H39" s="41" t="str">
        <x:v>Y</x:v>
      </x:c>
      <x:c r="I39" s="41" t="str">
        <x:v>-</x:v>
      </x:c>
      <x:c r="J39" s="41" t="str">
        <x:v>POST /ai/recommend</x:v>
      </x:c>
      <x:c r="K39" s="41" t="str">
        <x:v>AI Server</x:v>
      </x:c>
      <x:c r="L39" s="41" t="str">
        <x:v>확정</x:v>
      </x:c>
      <x:c r="M39" s="77" t="str"/>
    </x:row>
    <x:row r="40" ht="42" customHeight="1">
      <x:c r="A40" s="102" t="str">
        <x:v>F-AI-011</x:v>
      </x:c>
      <x:c r="B40" s="41" t="str">
        <x:v>AI 엔진</x:v>
      </x:c>
      <x:c r="C40" s="41" t="str">
        <x:v>설명 생성</x:v>
      </x:c>
      <x:c r="D40" s="41" t="str">
        <x:v>강점·보완점 생성</x:v>
      </x:c>
      <x:c r="E40" s="29" t="str">
        <x:v>규칙 판정과 세부 점수를 근거로 사용자 강점과 보완 항목을 생성한다.</x:v>
      </x:c>
      <x:c r="F40" s="41" t="str">
        <x:v>시스템</x:v>
      </x:c>
      <x:c r="G40" s="41" t="str">
        <x:v>Must</x:v>
      </x:c>
      <x:c r="H40" s="41" t="str">
        <x:v>Y</x:v>
      </x:c>
      <x:c r="I40" s="41" t="str">
        <x:v>-</x:v>
      </x:c>
      <x:c r="J40" s="41" t="str">
        <x:v>POST /ai/recommend</x:v>
      </x:c>
      <x:c r="K40" s="41" t="str">
        <x:v>AI Server</x:v>
      </x:c>
      <x:c r="L40" s="41" t="str">
        <x:v>확정</x:v>
      </x:c>
      <x:c r="M40" s="77" t="str">
        <x:v>근거 없는 문장 생성 금지</x:v>
      </x:c>
    </x:row>
    <x:row r="41" ht="42" customHeight="1">
      <x:c r="A41" s="102" t="str">
        <x:v>F-RES-001</x:v>
      </x:c>
      <x:c r="B41" s="41" t="str">
        <x:v>분석 결과</x:v>
      </x:c>
      <x:c r="C41" s="41" t="str">
        <x:v>저장</x:v>
      </x:c>
      <x:c r="D41" s="41" t="str">
        <x:v>분석 결과 저장</x:v>
      </x:c>
      <x:c r="E41" s="29" t="str">
        <x:v>국가별 점수, 순위, 추천 비자, 직업 매칭, 근거를 데이터베이스에 저장한다.</x:v>
      </x:c>
      <x:c r="F41" s="41" t="str">
        <x:v>시스템</x:v>
      </x:c>
      <x:c r="G41" s="41" t="str">
        <x:v>Must</x:v>
      </x:c>
      <x:c r="H41" s="41" t="str">
        <x:v>Y</x:v>
      </x:c>
      <x:c r="I41" s="41" t="str">
        <x:v>-</x:v>
      </x:c>
      <x:c r="J41" s="41" t="str">
        <x:v>내부 처리</x:v>
      </x:c>
      <x:c r="K41" s="41" t="str">
        <x:v>Backend</x:v>
      </x:c>
      <x:c r="L41" s="41" t="str">
        <x:v>확정</x:v>
      </x:c>
      <x:c r="M41" s="77" t="str"/>
    </x:row>
    <x:row r="42" ht="42" customHeight="1">
      <x:c r="A42" s="102" t="str">
        <x:v>F-RES-002</x:v>
      </x:c>
      <x:c r="B42" s="41" t="str">
        <x:v>분석 결과</x:v>
      </x:c>
      <x:c r="C42" s="41" t="str">
        <x:v>조회</x:v>
      </x:c>
      <x:c r="D42" s="41" t="str">
        <x:v>분석 결과 상세 조회</x:v>
      </x:c>
      <x:c r="E42" s="29" t="str">
        <x:v>로그인 사용자가 본인의 분석 결과를 조회한다.</x:v>
      </x:c>
      <x:c r="F42" s="41" t="str">
        <x:v>로그인 사용자</x:v>
      </x:c>
      <x:c r="G42" s="41" t="str">
        <x:v>Must</x:v>
      </x:c>
      <x:c r="H42" s="41" t="str">
        <x:v>Y</x:v>
      </x:c>
      <x:c r="I42" s="41" t="str">
        <x:v>RES-001</x:v>
      </x:c>
      <x:c r="J42" s="41" t="str">
        <x:v>GET /api/analyses/{analysisId}</x:v>
      </x:c>
      <x:c r="K42" s="41" t="str">
        <x:v>Backend</x:v>
      </x:c>
      <x:c r="L42" s="41" t="str">
        <x:v>확정</x:v>
      </x:c>
      <x:c r="M42" s="77" t="str">
        <x:v>소유권 검증</x:v>
      </x:c>
    </x:row>
    <x:row r="43" ht="42" customHeight="1">
      <x:c r="A43" s="102" t="str">
        <x:v>F-RES-003</x:v>
      </x:c>
      <x:c r="B43" s="41" t="str">
        <x:v>분석 결과</x:v>
      </x:c>
      <x:c r="C43" s="41" t="str">
        <x:v>표시</x:v>
      </x:c>
      <x:c r="D43" s="41" t="str">
        <x:v>국가 추천 TOP 3 표시</x:v>
      </x:c>
      <x:c r="E43" s="29" t="str">
        <x:v>추천 국가 순위와 국가별 대표 비자, 종합 적합도를 표시한다.</x:v>
      </x:c>
      <x:c r="F43" s="41" t="str">
        <x:v>로그인 사용자</x:v>
      </x:c>
      <x:c r="G43" s="41" t="str">
        <x:v>Must</x:v>
      </x:c>
      <x:c r="H43" s="41" t="str">
        <x:v>Y</x:v>
      </x:c>
      <x:c r="I43" s="41" t="str">
        <x:v>RES-001</x:v>
      </x:c>
      <x:c r="J43" s="41" t="str">
        <x:v>-</x:v>
      </x:c>
      <x:c r="K43" s="41" t="str">
        <x:v>Frontend</x:v>
      </x:c>
      <x:c r="L43" s="41" t="str">
        <x:v>확정</x:v>
      </x:c>
      <x:c r="M43" s="77" t="str"/>
    </x:row>
    <x:row r="44" ht="42" customHeight="1">
      <x:c r="A44" s="102" t="str">
        <x:v>F-RES-004</x:v>
      </x:c>
      <x:c r="B44" s="41" t="str">
        <x:v>분석 결과</x:v>
      </x:c>
      <x:c r="C44" s="41" t="str">
        <x:v>표시</x:v>
      </x:c>
      <x:c r="D44" s="41" t="str">
        <x:v>세부 점수 시각화</x:v>
      </x:c>
      <x:c r="E44" s="29" t="str">
        <x:v>비자 규칙, 국가 환경, 경력 유사도, 선호 점수를 시각화한다.</x:v>
      </x:c>
      <x:c r="F44" s="41" t="str">
        <x:v>로그인 사용자</x:v>
      </x:c>
      <x:c r="G44" s="41" t="str">
        <x:v>Should</x:v>
      </x:c>
      <x:c r="H44" s="41" t="str">
        <x:v>Y</x:v>
      </x:c>
      <x:c r="I44" s="41" t="str">
        <x:v>RES-001</x:v>
      </x:c>
      <x:c r="J44" s="41" t="str">
        <x:v>-</x:v>
      </x:c>
      <x:c r="K44" s="41" t="str">
        <x:v>Frontend</x:v>
      </x:c>
      <x:c r="L44" s="41" t="str">
        <x:v>확정</x:v>
      </x:c>
      <x:c r="M44" s="77" t="str"/>
    </x:row>
    <x:row r="45" ht="42" customHeight="1">
      <x:c r="A45" s="102" t="str">
        <x:v>F-RES-005</x:v>
      </x:c>
      <x:c r="B45" s="41" t="str">
        <x:v>분석 결과</x:v>
      </x:c>
      <x:c r="C45" s="41" t="str">
        <x:v>표시</x:v>
      </x:c>
      <x:c r="D45" s="41" t="str">
        <x:v>강점·보완점 표시</x:v>
      </x:c>
      <x:c r="E45" s="29" t="str">
        <x:v>추천 결과의 주요 강점과 추가 준비가 필요한 항목을 표시한다.</x:v>
      </x:c>
      <x:c r="F45" s="41" t="str">
        <x:v>로그인 사용자</x:v>
      </x:c>
      <x:c r="G45" s="41" t="str">
        <x:v>Must</x:v>
      </x:c>
      <x:c r="H45" s="41" t="str">
        <x:v>Y</x:v>
      </x:c>
      <x:c r="I45" s="41" t="str">
        <x:v>RES-001</x:v>
      </x:c>
      <x:c r="J45" s="41" t="str">
        <x:v>-</x:v>
      </x:c>
      <x:c r="K45" s="41" t="str">
        <x:v>Frontend</x:v>
      </x:c>
      <x:c r="L45" s="41" t="str">
        <x:v>확정</x:v>
      </x:c>
      <x:c r="M45" s="77" t="str"/>
    </x:row>
    <x:row r="46" ht="42" customHeight="1">
      <x:c r="A46" s="102" t="str">
        <x:v>F-RES-006</x:v>
      </x:c>
      <x:c r="B46" s="41" t="str">
        <x:v>분석 결과</x:v>
      </x:c>
      <x:c r="C46" s="41" t="str">
        <x:v>체크리스트</x:v>
      </x:c>
      <x:c r="D46" s="41" t="str">
        <x:v>준비 체크리스트 표시</x:v>
      </x:c>
      <x:c r="E46" s="29" t="str">
        <x:v>비자 준비에 필요한 시험, 서류, 자금 관련 체크리스트를 제공한다.</x:v>
      </x:c>
      <x:c r="F46" s="41" t="str">
        <x:v>로그인 사용자</x:v>
      </x:c>
      <x:c r="G46" s="41" t="str">
        <x:v>Should</x:v>
      </x:c>
      <x:c r="H46" s="41" t="str">
        <x:v>Y</x:v>
      </x:c>
      <x:c r="I46" s="41" t="str">
        <x:v>RES-001</x:v>
      </x:c>
      <x:c r="J46" s="41" t="str">
        <x:v>-</x:v>
      </x:c>
      <x:c r="K46" s="41" t="str">
        <x:v>Frontend</x:v>
      </x:c>
      <x:c r="L46" s="41" t="str">
        <x:v>검토</x:v>
      </x:c>
      <x:c r="M46" s="77" t="str">
        <x:v>서버 저장은 선택</x:v>
      </x:c>
    </x:row>
    <x:row r="47" ht="42" customHeight="1">
      <x:c r="A47" s="102" t="str">
        <x:v>F-RES-007</x:v>
      </x:c>
      <x:c r="B47" s="41" t="str">
        <x:v>분석 결과</x:v>
      </x:c>
      <x:c r="C47" s="41" t="str">
        <x:v>연계</x:v>
      </x:c>
      <x:c r="D47" s="41" t="str">
        <x:v>결과 기반 AI 상담 이동</x:v>
      </x:c>
      <x:c r="E47" s="29" t="str">
        <x:v>선택 국가와 비자를 상담 컨텍스트로 전달하고 AI 상담 화면으로 이동한다.</x:v>
      </x:c>
      <x:c r="F47" s="41" t="str">
        <x:v>로그인 사용자</x:v>
      </x:c>
      <x:c r="G47" s="41" t="str">
        <x:v>Should</x:v>
      </x:c>
      <x:c r="H47" s="41" t="str">
        <x:v>Y</x:v>
      </x:c>
      <x:c r="I47" s="41" t="str">
        <x:v>RES-001</x:v>
      </x:c>
      <x:c r="J47" s="41" t="str">
        <x:v>-</x:v>
      </x:c>
      <x:c r="K47" s="41" t="str">
        <x:v>Frontend</x:v>
      </x:c>
      <x:c r="L47" s="41" t="str">
        <x:v>확정</x:v>
      </x:c>
      <x:c r="M47" s="77" t="str"/>
    </x:row>
    <x:row r="48" ht="42" customHeight="1">
      <x:c r="A48" s="102" t="str">
        <x:v>F-RAG-001</x:v>
      </x:c>
      <x:c r="B48" s="41" t="str">
        <x:v>AI 상담</x:v>
      </x:c>
      <x:c r="C48" s="41" t="str">
        <x:v>세션</x:v>
      </x:c>
      <x:c r="D48" s="41" t="str">
        <x:v>상담 세션 생성</x:v>
      </x:c>
      <x:c r="E48" s="29" t="str">
        <x:v>신규 질문 요청 시 상담 세션을 생성하고 사용자와 연결한다.</x:v>
      </x:c>
      <x:c r="F48" s="41" t="str">
        <x:v>로그인 사용자</x:v>
      </x:c>
      <x:c r="G48" s="41" t="str">
        <x:v>Must</x:v>
      </x:c>
      <x:c r="H48" s="41" t="str">
        <x:v>Y</x:v>
      </x:c>
      <x:c r="I48" s="41" t="str">
        <x:v>CHAT-001</x:v>
      </x:c>
      <x:c r="J48" s="41" t="str">
        <x:v>POST /api/chat</x:v>
      </x:c>
      <x:c r="K48" s="41" t="str">
        <x:v>Backend</x:v>
      </x:c>
      <x:c r="L48" s="41" t="str">
        <x:v>확정</x:v>
      </x:c>
      <x:c r="M48" s="77" t="str"/>
    </x:row>
    <x:row r="49" ht="42" customHeight="1">
      <x:c r="A49" s="102" t="str">
        <x:v>F-RAG-002</x:v>
      </x:c>
      <x:c r="B49" s="41" t="str">
        <x:v>AI 상담</x:v>
      </x:c>
      <x:c r="C49" s="41" t="str">
        <x:v>입력</x:v>
      </x:c>
      <x:c r="D49" s="41" t="str">
        <x:v>상담 질문 입력</x:v>
      </x:c>
      <x:c r="E49" s="29" t="str">
        <x:v>사용자가 국가와 비자를 선택하고 질문을 입력한다.</x:v>
      </x:c>
      <x:c r="F49" s="41" t="str">
        <x:v>로그인 사용자</x:v>
      </x:c>
      <x:c r="G49" s="41" t="str">
        <x:v>Must</x:v>
      </x:c>
      <x:c r="H49" s="41" t="str">
        <x:v>Y</x:v>
      </x:c>
      <x:c r="I49" s="41" t="str">
        <x:v>CHAT-001</x:v>
      </x:c>
      <x:c r="J49" s="41" t="str">
        <x:v>-</x:v>
      </x:c>
      <x:c r="K49" s="41" t="str">
        <x:v>Frontend</x:v>
      </x:c>
      <x:c r="L49" s="41" t="str">
        <x:v>확정</x:v>
      </x:c>
      <x:c r="M49" s="77" t="str"/>
    </x:row>
    <x:row r="50" ht="42" customHeight="1">
      <x:c r="A50" s="102" t="str">
        <x:v>F-RAG-003</x:v>
      </x:c>
      <x:c r="B50" s="41" t="str">
        <x:v>AI 상담</x:v>
      </x:c>
      <x:c r="C50" s="41" t="str">
        <x:v>검색</x:v>
      </x:c>
      <x:c r="D50" s="41" t="str">
        <x:v>정책 문서 벡터 검색</x:v>
      </x:c>
      <x:c r="E50" s="29" t="str">
        <x:v>국가·비자 필터와 질문 임베딩을 사용해 관련 정책 청크를 검색한다.</x:v>
      </x:c>
      <x:c r="F50" s="41" t="str">
        <x:v>시스템</x:v>
      </x:c>
      <x:c r="G50" s="41" t="str">
        <x:v>Must</x:v>
      </x:c>
      <x:c r="H50" s="41" t="str">
        <x:v>Y</x:v>
      </x:c>
      <x:c r="I50" s="41" t="str">
        <x:v>-</x:v>
      </x:c>
      <x:c r="J50" s="41" t="str">
        <x:v>POST /ai/rag/answer</x:v>
      </x:c>
      <x:c r="K50" s="41" t="str">
        <x:v>AI Server</x:v>
      </x:c>
      <x:c r="L50" s="41" t="str">
        <x:v>확정</x:v>
      </x:c>
      <x:c r="M50" s="77" t="str">
        <x:v>pgvector TOP 3~5</x:v>
      </x:c>
    </x:row>
    <x:row r="51" ht="42" customHeight="1">
      <x:c r="A51" s="102" t="str">
        <x:v>F-RAG-004</x:v>
      </x:c>
      <x:c r="B51" s="41" t="str">
        <x:v>AI 상담</x:v>
      </x:c>
      <x:c r="C51" s="41" t="str">
        <x:v>생성</x:v>
      </x:c>
      <x:c r="D51" s="41" t="str">
        <x:v>공식 문서 기반 답변 생성</x:v>
      </x:c>
      <x:c r="E51" s="29" t="str">
        <x:v>검색된 정책 문서를 근거로 LLM 답변을 생성한다.</x:v>
      </x:c>
      <x:c r="F51" s="41" t="str">
        <x:v>시스템</x:v>
      </x:c>
      <x:c r="G51" s="41" t="str">
        <x:v>Must</x:v>
      </x:c>
      <x:c r="H51" s="41" t="str">
        <x:v>Y</x:v>
      </x:c>
      <x:c r="I51" s="41" t="str">
        <x:v>-</x:v>
      </x:c>
      <x:c r="J51" s="41" t="str">
        <x:v>POST /ai/rag/answer</x:v>
      </x:c>
      <x:c r="K51" s="41" t="str">
        <x:v>AI Server</x:v>
      </x:c>
      <x:c r="L51" s="41" t="str">
        <x:v>확정</x:v>
      </x:c>
      <x:c r="M51" s="77" t="str"/>
    </x:row>
    <x:row r="52" ht="42" customHeight="1">
      <x:c r="A52" s="102" t="str">
        <x:v>F-RAG-005</x:v>
      </x:c>
      <x:c r="B52" s="41" t="str">
        <x:v>AI 상담</x:v>
      </x:c>
      <x:c r="C52" s="41" t="str">
        <x:v>신뢰성</x:v>
      </x:c>
      <x:c r="D52" s="41" t="str">
        <x:v>출처와 기준일 반환</x:v>
      </x:c>
      <x:c r="E52" s="29" t="str">
        <x:v>답변에 사용한 공식 문서 제목, URL, 검증일을 함께 반환한다.</x:v>
      </x:c>
      <x:c r="F52" s="41" t="str">
        <x:v>로그인 사용자</x:v>
      </x:c>
      <x:c r="G52" s="41" t="str">
        <x:v>Must</x:v>
      </x:c>
      <x:c r="H52" s="41" t="str">
        <x:v>Y</x:v>
      </x:c>
      <x:c r="I52" s="41" t="str">
        <x:v>CHAT-001</x:v>
      </x:c>
      <x:c r="J52" s="41" t="str">
        <x:v>POST /api/chat</x:v>
      </x:c>
      <x:c r="K52" s="41" t="str">
        <x:v>AI Server/Backend</x:v>
      </x:c>
      <x:c r="L52" s="41" t="str">
        <x:v>확정</x:v>
      </x:c>
      <x:c r="M52" s="77" t="str"/>
    </x:row>
    <x:row r="53" ht="42" customHeight="1">
      <x:c r="A53" s="102" t="str">
        <x:v>F-RAG-006</x:v>
      </x:c>
      <x:c r="B53" s="41" t="str">
        <x:v>AI 상담</x:v>
      </x:c>
      <x:c r="C53" s="41" t="str">
        <x:v>신뢰성</x:v>
      </x:c>
      <x:c r="D53" s="41" t="str">
        <x:v>근거 부족 답변 차단</x:v>
      </x:c>
      <x:c r="E53" s="29" t="str">
        <x:v>공식 문서에서 충분한 근거를 찾지 못하면 답변 불가 상태를 반환한다.</x:v>
      </x:c>
      <x:c r="F53" s="41" t="str">
        <x:v>로그인 사용자</x:v>
      </x:c>
      <x:c r="G53" s="41" t="str">
        <x:v>Must</x:v>
      </x:c>
      <x:c r="H53" s="41" t="str">
        <x:v>Y</x:v>
      </x:c>
      <x:c r="I53" s="41" t="str">
        <x:v>CHAT-001</x:v>
      </x:c>
      <x:c r="J53" s="41" t="str">
        <x:v>POST /api/chat</x:v>
      </x:c>
      <x:c r="K53" s="41" t="str">
        <x:v>AI Server</x:v>
      </x:c>
      <x:c r="L53" s="41" t="str">
        <x:v>확정</x:v>
      </x:c>
      <x:c r="M53" s="77" t="str">
        <x:v>answerable=false</x:v>
      </x:c>
    </x:row>
    <x:row r="54" ht="42" customHeight="1">
      <x:c r="A54" s="102" t="str">
        <x:v>F-RAG-007</x:v>
      </x:c>
      <x:c r="B54" s="41" t="str">
        <x:v>AI 상담</x:v>
      </x:c>
      <x:c r="C54" s="41" t="str">
        <x:v>이력</x:v>
      </x:c>
      <x:c r="D54" s="41" t="str">
        <x:v>상담 이력 저장</x:v>
      </x:c>
      <x:c r="E54" s="29" t="str">
        <x:v>사용자 질문, AI 답변, 출처와 생성 일시를 저장한다.</x:v>
      </x:c>
      <x:c r="F54" s="41" t="str">
        <x:v>시스템</x:v>
      </x:c>
      <x:c r="G54" s="41" t="str">
        <x:v>Should</x:v>
      </x:c>
      <x:c r="H54" s="41" t="str">
        <x:v>Y</x:v>
      </x:c>
      <x:c r="I54" s="41" t="str">
        <x:v>-</x:v>
      </x:c>
      <x:c r="J54" s="41" t="str">
        <x:v>POST /api/chat</x:v>
      </x:c>
      <x:c r="K54" s="41" t="str">
        <x:v>Backend</x:v>
      </x:c>
      <x:c r="L54" s="41" t="str">
        <x:v>확정</x:v>
      </x:c>
      <x:c r="M54" s="77" t="str"/>
    </x:row>
    <x:row r="55" ht="42" customHeight="1">
      <x:c r="A55" s="102" t="str">
        <x:v>F-RAG-008</x:v>
      </x:c>
      <x:c r="B55" s="41" t="str">
        <x:v>AI 상담</x:v>
      </x:c>
      <x:c r="C55" s="41" t="str">
        <x:v>이력</x:v>
      </x:c>
      <x:c r="D55" s="41" t="str">
        <x:v>상담 이력 조회</x:v>
      </x:c>
      <x:c r="E55" s="29" t="str">
        <x:v>선택 상담 세션의 사용자 질문과 AI 답변을 시간순으로 조회한다.</x:v>
      </x:c>
      <x:c r="F55" s="41" t="str">
        <x:v>로그인 사용자</x:v>
      </x:c>
      <x:c r="G55" s="41" t="str">
        <x:v>Should</x:v>
      </x:c>
      <x:c r="H55" s="41" t="str">
        <x:v>Y</x:v>
      </x:c>
      <x:c r="I55" s="41" t="str">
        <x:v>CHAT-001</x:v>
      </x:c>
      <x:c r="J55" s="41" t="str">
        <x:v>GET /api/chat/sessions/{sessionId}</x:v>
      </x:c>
      <x:c r="K55" s="41" t="str">
        <x:v>Backend</x:v>
      </x:c>
      <x:c r="L55" s="41" t="str">
        <x:v>확정</x:v>
      </x:c>
      <x:c r="M55" s="77" t="str">
        <x:v>소유권 검증</x:v>
      </x:c>
    </x:row>
    <x:row r="56" ht="42" customHeight="1">
      <x:c r="A56" s="102" t="str">
        <x:v>F-MY-001</x:v>
      </x:c>
      <x:c r="B56" s="41" t="str">
        <x:v>마이페이지</x:v>
      </x:c>
      <x:c r="C56" s="41" t="str">
        <x:v>이력</x:v>
      </x:c>
      <x:c r="D56" s="41" t="str">
        <x:v>내 분석 이력 목록 조회</x:v>
      </x:c>
      <x:c r="E56" s="29" t="str">
        <x:v>로그인 사용자의 과거 분석 결과를 페이지 단위로 조회한다.</x:v>
      </x:c>
      <x:c r="F56" s="41" t="str">
        <x:v>로그인 사용자</x:v>
      </x:c>
      <x:c r="G56" s="41" t="str">
        <x:v>Must</x:v>
      </x:c>
      <x:c r="H56" s="41" t="str">
        <x:v>Y</x:v>
      </x:c>
      <x:c r="I56" s="41" t="str">
        <x:v>MY-001</x:v>
      </x:c>
      <x:c r="J56" s="41" t="str">
        <x:v>GET /api/analyses</x:v>
      </x:c>
      <x:c r="K56" s="41" t="str">
        <x:v>Backend</x:v>
      </x:c>
      <x:c r="L56" s="41" t="str">
        <x:v>확정</x:v>
      </x:c>
      <x:c r="M56" s="77" t="str"/>
    </x:row>
    <x:row r="57" ht="42" customHeight="1">
      <x:c r="A57" s="102" t="str">
        <x:v>F-MY-002</x:v>
      </x:c>
      <x:c r="B57" s="41" t="str">
        <x:v>마이페이지</x:v>
      </x:c>
      <x:c r="C57" s="41" t="str">
        <x:v>이력</x:v>
      </x:c>
      <x:c r="D57" s="41" t="str">
        <x:v>분석 이력 정렬</x:v>
      </x:c>
      <x:c r="E57" s="29" t="str">
        <x:v>분석 이력을 최신순 또는 점수순으로 정렬한다.</x:v>
      </x:c>
      <x:c r="F57" s="41" t="str">
        <x:v>로그인 사용자</x:v>
      </x:c>
      <x:c r="G57" s="41" t="str">
        <x:v>Could</x:v>
      </x:c>
      <x:c r="H57" s="41" t="str">
        <x:v>Y</x:v>
      </x:c>
      <x:c r="I57" s="41" t="str">
        <x:v>MY-001</x:v>
      </x:c>
      <x:c r="J57" s="41" t="str">
        <x:v>GET /api/analyses</x:v>
      </x:c>
      <x:c r="K57" s="41" t="str">
        <x:v>Frontend/Backend</x:v>
      </x:c>
      <x:c r="L57" s="41" t="str">
        <x:v>검토</x:v>
      </x:c>
      <x:c r="M57" s="77" t="str"/>
    </x:row>
    <x:row r="58" ht="42" customHeight="1">
      <x:c r="A58" s="102" t="str">
        <x:v>F-MY-003</x:v>
      </x:c>
      <x:c r="B58" s="41" t="str">
        <x:v>마이페이지</x:v>
      </x:c>
      <x:c r="C58" s="41" t="str">
        <x:v>이력</x:v>
      </x:c>
      <x:c r="D58" s="41" t="str">
        <x:v>과거 결과 다시 열기</x:v>
      </x:c>
      <x:c r="E58" s="29" t="str">
        <x:v>분석 이력에서 결과를 선택하여 상세 결과 화면으로 이동한다.</x:v>
      </x:c>
      <x:c r="F58" s="41" t="str">
        <x:v>로그인 사용자</x:v>
      </x:c>
      <x:c r="G58" s="41" t="str">
        <x:v>Must</x:v>
      </x:c>
      <x:c r="H58" s="41" t="str">
        <x:v>Y</x:v>
      </x:c>
      <x:c r="I58" s="41" t="str">
        <x:v>MY-001</x:v>
      </x:c>
      <x:c r="J58" s="41" t="str">
        <x:v>GET /api/analyses/{analysisId}</x:v>
      </x:c>
      <x:c r="K58" s="41" t="str">
        <x:v>Frontend</x:v>
      </x:c>
      <x:c r="L58" s="41" t="str">
        <x:v>확정</x:v>
      </x:c>
      <x:c r="M58" s="77" t="str"/>
    </x:row>
    <x:row r="59" ht="42" customHeight="1">
      <x:c r="A59" s="102" t="str">
        <x:v>F-MY-004</x:v>
      </x:c>
      <x:c r="B59" s="41" t="str">
        <x:v>마이페이지</x:v>
      </x:c>
      <x:c r="C59" s="41" t="str">
        <x:v>프로필</x:v>
      </x:c>
      <x:c r="D59" s="41" t="str">
        <x:v>프로필 수정 이동</x:v>
      </x:c>
      <x:c r="E59" s="29" t="str">
        <x:v>마이페이지에서 기존 프로필 수정 화면으로 이동한다.</x:v>
      </x:c>
      <x:c r="F59" s="41" t="str">
        <x:v>로그인 사용자</x:v>
      </x:c>
      <x:c r="G59" s="41" t="str">
        <x:v>Should</x:v>
      </x:c>
      <x:c r="H59" s="41" t="str">
        <x:v>Y</x:v>
      </x:c>
      <x:c r="I59" s="41" t="str">
        <x:v>MY-001</x:v>
      </x:c>
      <x:c r="J59" s="41" t="str">
        <x:v>GET /api/users/me/profile</x:v>
      </x:c>
      <x:c r="K59" s="41" t="str">
        <x:v>Frontend</x:v>
      </x:c>
      <x:c r="L59" s="41" t="str">
        <x:v>검토</x:v>
      </x:c>
      <x:c r="M59" s="77" t="str"/>
    </x:row>
    <x:row r="60" ht="42" customHeight="1">
      <x:c r="A60" s="102" t="str">
        <x:v>F-SYS-001</x:v>
      </x:c>
      <x:c r="B60" s="41" t="str">
        <x:v>시스템</x:v>
      </x:c>
      <x:c r="C60" s="41" t="str">
        <x:v>모니터링</x:v>
      </x:c>
      <x:c r="D60" s="41" t="str">
        <x:v>Backend 상태 확인</x:v>
      </x:c>
      <x:c r="E60" s="29" t="str">
        <x:v>Spring Boot와 데이터베이스 연결 상태를 확인한다.</x:v>
      </x:c>
      <x:c r="F60" s="41" t="str">
        <x:v>운영자</x:v>
      </x:c>
      <x:c r="G60" s="41" t="str">
        <x:v>Should</x:v>
      </x:c>
      <x:c r="H60" s="41" t="str">
        <x:v>Y</x:v>
      </x:c>
      <x:c r="I60" s="41" t="str">
        <x:v>-</x:v>
      </x:c>
      <x:c r="J60" s="41" t="str">
        <x:v>GET /api/health</x:v>
      </x:c>
      <x:c r="K60" s="41" t="str">
        <x:v>Backend</x:v>
      </x:c>
      <x:c r="L60" s="41" t="str">
        <x:v>확정</x:v>
      </x:c>
      <x:c r="M60" s="77" t="str"/>
    </x:row>
    <x:row r="61" ht="42" customHeight="1">
      <x:c r="A61" s="102" t="str">
        <x:v>F-SYS-002</x:v>
      </x:c>
      <x:c r="B61" s="41" t="str">
        <x:v>시스템</x:v>
      </x:c>
      <x:c r="C61" s="41" t="str">
        <x:v>모니터링</x:v>
      </x:c>
      <x:c r="D61" s="41" t="str">
        <x:v>AI Server 상태 확인</x:v>
      </x:c>
      <x:c r="E61" s="29" t="str">
        <x:v>FastAPI, 모델 파일, pgvector 연결 상태를 확인한다.</x:v>
      </x:c>
      <x:c r="F61" s="41" t="str">
        <x:v>운영자</x:v>
      </x:c>
      <x:c r="G61" s="41" t="str">
        <x:v>Should</x:v>
      </x:c>
      <x:c r="H61" s="41" t="str">
        <x:v>Y</x:v>
      </x:c>
      <x:c r="I61" s="41" t="str">
        <x:v>-</x:v>
      </x:c>
      <x:c r="J61" s="41" t="str">
        <x:v>GET /ai/health</x:v>
      </x:c>
      <x:c r="K61" s="41" t="str">
        <x:v>AI Server</x:v>
      </x:c>
      <x:c r="L61" s="41" t="str">
        <x:v>확정</x:v>
      </x:c>
      <x:c r="M61" s="77" t="str"/>
    </x:row>
    <x:row r="62" ht="42" customHeight="1">
      <x:c r="A62" s="102" t="str">
        <x:v>F-SYS-003</x:v>
      </x:c>
      <x:c r="B62" s="41" t="str">
        <x:v>시스템</x:v>
      </x:c>
      <x:c r="C62" s="41" t="str">
        <x:v>보안</x:v>
      </x:c>
      <x:c r="D62" s="41" t="str">
        <x:v>사용자 데이터 소유권 검증</x:v>
      </x:c>
      <x:c r="E62" s="29" t="str">
        <x:v>분석 결과와 상담 이력 조회 시 로그인 사용자의 소유권을 검증한다.</x:v>
      </x:c>
      <x:c r="F62" s="41" t="str">
        <x:v>시스템</x:v>
      </x:c>
      <x:c r="G62" s="41" t="str">
        <x:v>Must</x:v>
      </x:c>
      <x:c r="H62" s="41" t="str">
        <x:v>Y</x:v>
      </x:c>
      <x:c r="I62" s="41" t="str">
        <x:v>RES-001, CHAT-001, MY-001</x:v>
      </x:c>
      <x:c r="J62" s="41" t="str">
        <x:v>조회 API</x:v>
      </x:c>
      <x:c r="K62" s="41" t="str">
        <x:v>Backend</x:v>
      </x:c>
      <x:c r="L62" s="41" t="str">
        <x:v>확정</x:v>
      </x:c>
      <x:c r="M62" s="77" t="str"/>
    </x:row>
    <x:row r="63" ht="42" customHeight="1">
      <x:c r="A63" s="102" t="str">
        <x:v>F-SYS-004</x:v>
      </x:c>
      <x:c r="B63" s="41" t="str">
        <x:v>시스템</x:v>
      </x:c>
      <x:c r="C63" s="41" t="str">
        <x:v>보안</x:v>
      </x:c>
      <x:c r="D63" s="41" t="str">
        <x:v>비밀정보 환경변수 관리</x:v>
      </x:c>
      <x:c r="E63" s="29" t="str">
        <x:v>DB 비밀번호, JWT Secret, LLM API Key를 환경변수로 관리한다.</x:v>
      </x:c>
      <x:c r="F63" s="41" t="str">
        <x:v>개발자/운영자</x:v>
      </x:c>
      <x:c r="G63" s="41" t="str">
        <x:v>Must</x:v>
      </x:c>
      <x:c r="H63" s="41" t="str">
        <x:v>Y</x:v>
      </x:c>
      <x:c r="I63" s="41" t="str">
        <x:v>-</x:v>
      </x:c>
      <x:c r="J63" s="41" t="str">
        <x:v>-</x:v>
      </x:c>
      <x:c r="K63" s="41" t="str">
        <x:v>Deployment</x:v>
      </x:c>
      <x:c r="L63" s="41" t="str">
        <x:v>확정</x:v>
      </x:c>
      <x:c r="M63" s="77" t="str"/>
    </x:row>
    <x:row r="64" ht="42" customHeight="1">
      <x:c r="A64" s="103" t="str">
        <x:v>F-SYS-005</x:v>
      </x:c>
      <x:c r="B64" s="104" t="str">
        <x:v>시스템</x:v>
      </x:c>
      <x:c r="C64" s="104" t="str">
        <x:v>배포</x:v>
      </x:c>
      <x:c r="D64" s="104" t="str">
        <x:v>Docker 기반 서비스 실행</x:v>
      </x:c>
      <x:c r="E64" s="79" t="str">
        <x:v>Frontend, Backend, AI Server, PostgreSQL을 컨테이너로 실행한다.</x:v>
      </x:c>
      <x:c r="F64" s="104" t="str">
        <x:v>개발자/운영자</x:v>
      </x:c>
      <x:c r="G64" s="104" t="str">
        <x:v>Must</x:v>
      </x:c>
      <x:c r="H64" s="104" t="str">
        <x:v>Y</x:v>
      </x:c>
      <x:c r="I64" s="104" t="str">
        <x:v>-</x:v>
      </x:c>
      <x:c r="J64" s="104" t="str">
        <x:v>-</x:v>
      </x:c>
      <x:c r="K64" s="104" t="str">
        <x:v>Deployment</x:v>
      </x:c>
      <x:c r="L64" s="104" t="str">
        <x:v>확정</x:v>
      </x:c>
      <x:c r="M64" s="80" t="str">
        <x:v>Docker 27.5.1</x:v>
      </x:c>
    </x:row>
  </x:sheetData>
  <x:conditionalFormatting sqref="G2:G200">
    <x:cfRule type="expression" dxfId="0" priority="1">
      <x:formula>G2="Must"</x:formula>
    </x:cfRule>
    <x:cfRule type="expression" dxfId="1" priority="2">
      <x:formula>G2="Should"</x:formula>
    </x:cfRule>
    <x:cfRule type="expression" dxfId="2" priority="3">
      <x:formula>G2="Could"</x:formula>
    </x:cfRule>
    <x:cfRule type="expression" dxfId="3" priority="4">
      <x:formula>G2="Won't"</x:formula>
    </x:cfRule>
  </x:conditionalFormatting>
  <x:conditionalFormatting sqref="L2:L200">
    <x:cfRule type="expression" dxfId="4" priority="5">
      <x:formula>L2="확정"</x:formula>
    </x:cfRule>
    <x:cfRule type="expression" dxfId="5" priority="6">
      <x:formula>L2="검토"</x:formula>
    </x:cfRule>
  </x:conditionalFormatting>
  <x:dataValidations count="3">
    <x:dataValidation type="list" sqref="G2:G200">
      <x:formula1>"Must,Should,Could,Won't"</x:formula1>
    </x:dataValidation>
    <x:dataValidation type="list" sqref="H2:H200">
      <x:formula1>"Y,N"</x:formula1>
    </x:dataValidation>
    <x:dataValidation type="list" sqref="L2:L200">
      <x:formula1>"초안,검토,확정,개발중,개발완료"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5709cb980f4c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18" hidden="0" customWidth="1"/>
    <x:col min="5" max="5" width="36" hidden="0" customWidth="1"/>
    <x:col min="6" max="6" width="55" hidden="0" customWidth="1"/>
    <x:col min="7" max="7" width="38" hidden="0" customWidth="1"/>
    <x:col min="8" max="8" width="52" hidden="0" customWidth="1"/>
    <x:col min="9" max="9" width="12" hidden="0" customWidth="1"/>
    <x:col min="10" max="10" width="24" hidden="0" customWidth="1"/>
    <x:col min="11" max="11" width="13" hidden="0" customWidth="1"/>
    <x:col min="12" max="12" width="34" hidden="0" customWidth="1"/>
  </x:cols>
  <x:sheetData>
    <x:row r="1" ht="54" customHeight="1">
      <x:c r="A1" s="99" t="str">
        <x:v>기능 ID</x:v>
      </x:c>
      <x:c r="B1" s="100" t="str">
        <x:v>기능명</x:v>
      </x:c>
      <x:c r="C1" s="100" t="str">
        <x:v>상세 설명</x:v>
      </x:c>
      <x:c r="D1" s="100" t="str">
        <x:v>사용자·주체</x:v>
      </x:c>
      <x:c r="E1" s="100" t="str">
        <x:v>선행 조건</x:v>
      </x:c>
      <x:c r="F1" s="100" t="str">
        <x:v>기본 처리 흐름</x:v>
      </x:c>
      <x:c r="G1" s="100" t="str">
        <x:v>출력·결과</x:v>
      </x:c>
      <x:c r="H1" s="100" t="str">
        <x:v>완료 기준</x:v>
      </x:c>
      <x:c r="I1" s="100" t="str">
        <x:v>우선순위</x:v>
      </x:c>
      <x:c r="J1" s="100" t="str">
        <x:v>담당 영역</x:v>
      </x:c>
      <x:c r="K1" s="100" t="str">
        <x:v>상태</x:v>
      </x:c>
      <x:c r="L1" s="101" t="str">
        <x:v>비고</x:v>
      </x:c>
    </x:row>
    <x:row r="2" ht="54" customHeight="1">
      <x:c r="A2" s="102" t="str">
        <x:v>F-COM-001</x:v>
      </x:c>
      <x:c r="B2" s="41" t="str">
        <x:v>공통 헤더 표시</x:v>
      </x:c>
      <x:c r="C2" s="29" t="str">
        <x:v>로고와 주요 메뉴를 공통으로 표시하고 현재 로그인 상태에 맞춰 메뉴를 변경한다.</x:v>
      </x:c>
      <x:c r="D2" s="41" t="str">
        <x:v>전체 사용자</x:v>
      </x:c>
      <x:c r="E2" s="29" t="str">
        <x:v>서비스 접속 가능</x:v>
      </x:c>
      <x:c r="F2" s="29" t="str">
        <x:v>사용자 입력 또는 시스템 이벤트 수신 → 유효성·권한 검증 → 기능 처리 → 결과 반환</x:v>
      </x:c>
      <x:c r="G2" s="29" t="str">
        <x:v>화면 상태 또는 안내 메시지</x:v>
      </x:c>
      <x:c r="H2" s="29" t="str">
        <x:v>사용자가 요청한 데이터가 누락 없이 표시되며 권한 없는 데이터는 노출되지 않는다.</x:v>
      </x:c>
      <x:c r="I2" s="41" t="str">
        <x:v>Must</x:v>
      </x:c>
      <x:c r="J2" s="41" t="str">
        <x:v>Frontend</x:v>
      </x:c>
      <x:c r="K2" s="41" t="str">
        <x:v>확정</x:v>
      </x:c>
      <x:c r="L2" s="77" t="str">
        <x:v>로그인 시 로그인 버튼을 사용자 메뉴로 변경</x:v>
      </x:c>
    </x:row>
    <x:row r="3" ht="54" customHeight="1">
      <x:c r="A3" s="102" t="str">
        <x:v>F-COM-002</x:v>
      </x:c>
      <x:c r="B3" s="41" t="str">
        <x:v>보호 화면 접근 제어</x:v>
      </x:c>
      <x:c r="C3" s="29" t="str">
        <x:v>로그인하지 않은 사용자가 보호 화면에 접근하면 로그인 화면으로 이동시킨다.</x:v>
      </x:c>
      <x:c r="D3" s="41" t="str">
        <x:v>비로그인 사용자</x:v>
      </x:c>
      <x:c r="E3" s="29" t="str">
        <x:v>서비스 접속 가능</x:v>
      </x:c>
      <x:c r="F3" s="29" t="str">
        <x:v>사용자 입력 또는 시스템 이벤트 수신 → 유효성·권한 검증 → 기능 처리 → 결과 반환</x:v>
      </x:c>
      <x:c r="G3" s="29" t="str">
        <x:v>화면 상태 또는 안내 메시지</x:v>
      </x:c>
      <x:c r="H3" s="29" t="str">
        <x:v>정의된 사용자 액션 수행 시 예상 화면 또는 결과가 정상적으로 제공된다.</x:v>
      </x:c>
      <x:c r="I3" s="41" t="str">
        <x:v>Must</x:v>
      </x:c>
      <x:c r="J3" s="41" t="str">
        <x:v>Frontend/Backend</x:v>
      </x:c>
      <x:c r="K3" s="41" t="str">
        <x:v>확정</x:v>
      </x:c>
      <x:c r="L3" s="77" t="str">
        <x:v>JWT 만료도 동일 처리</x:v>
      </x:c>
    </x:row>
    <x:row r="4" ht="54" customHeight="1">
      <x:c r="A4" s="102" t="str">
        <x:v>F-COM-003</x:v>
      </x:c>
      <x:c r="B4" s="41" t="str">
        <x:v>공통 오류 메시지 처리</x:v>
      </x:c>
      <x:c r="C4" s="29" t="str">
        <x:v>API 오류 코드를 사용자 친화적인 메시지로 변환하여 표시한다.</x:v>
      </x:c>
      <x:c r="D4" s="41" t="str">
        <x:v>전체 사용자</x:v>
      </x:c>
      <x:c r="E4" s="29" t="str">
        <x:v>서비스 접속 가능</x:v>
      </x:c>
      <x:c r="F4" s="29" t="str">
        <x:v>사용자 입력 또는 시스템 이벤트 수신 → 유효성·권한 검증 → 기능 처리 → 결과 반환</x:v>
      </x:c>
      <x:c r="G4" s="29" t="str">
        <x:v>화면 상태 또는 안내 메시지</x:v>
      </x:c>
      <x:c r="H4" s="29" t="str">
        <x:v>정의된 사용자 액션 수행 시 예상 화면 또는 결과가 정상적으로 제공된다.</x:v>
      </x:c>
      <x:c r="I4" s="41" t="str">
        <x:v>Must</x:v>
      </x:c>
      <x:c r="J4" s="41" t="str">
        <x:v>Frontend</x:v>
      </x:c>
      <x:c r="K4" s="41" t="str">
        <x:v>확정</x:v>
      </x:c>
      <x:c r="L4" s="77" t="str">
        <x:v>500 오류 세부 내용은 노출하지 않음</x:v>
      </x:c>
    </x:row>
    <x:row r="5" ht="54" customHeight="1">
      <x:c r="A5" s="102" t="str">
        <x:v>F-COM-004</x:v>
      </x:c>
      <x:c r="B5" s="41" t="str">
        <x:v>공통 로딩 상태 표시</x:v>
      </x:c>
      <x:c r="C5" s="29" t="str">
        <x:v>API 처리 중 중복 요청을 막고 로딩 상태를 표시한다.</x:v>
      </x:c>
      <x:c r="D5" s="41" t="str">
        <x:v>전체 사용자</x:v>
      </x:c>
      <x:c r="E5" s="29" t="str">
        <x:v>서비스 접속 가능</x:v>
      </x:c>
      <x:c r="F5" s="29" t="str">
        <x:v>사용자 입력 또는 시스템 이벤트 수신 → 유효성·권한 검증 → 기능 처리 → 결과 반환</x:v>
      </x:c>
      <x:c r="G5" s="29" t="str">
        <x:v>화면 상태 또는 안내 메시지</x:v>
      </x:c>
      <x:c r="H5" s="29" t="str">
        <x:v>사용자가 요청한 데이터가 누락 없이 표시되며 권한 없는 데이터는 노출되지 않는다.</x:v>
      </x:c>
      <x:c r="I5" s="41" t="str">
        <x:v>Should</x:v>
      </x:c>
      <x:c r="J5" s="41" t="str">
        <x:v>Frontend</x:v>
      </x:c>
      <x:c r="K5" s="41" t="str">
        <x:v>확정</x:v>
      </x:c>
      <x:c r="L5" s="77" t="str"/>
    </x:row>
    <x:row r="6" ht="54" customHeight="1">
      <x:c r="A6" s="102" t="str">
        <x:v>F-COM-005</x:v>
      </x:c>
      <x:c r="B6" s="41" t="str">
        <x:v>AI 분석·상담 면책 문구 표시</x:v>
      </x:c>
      <x:c r="C6" s="29" t="str">
        <x:v>적합도 점수가 승인 확률이 아니며 상담이 법률 자문이 아님을 안내한다.</x:v>
      </x:c>
      <x:c r="D6" s="41" t="str">
        <x:v>전체 사용자</x:v>
      </x:c>
      <x:c r="E6" s="29" t="str">
        <x:v>서비스 접속 가능</x:v>
      </x:c>
      <x:c r="F6" s="29" t="str">
        <x:v>사용자 입력 또는 시스템 이벤트 수신 → 유효성·권한 검증 → 기능 처리 → 결과 반환</x:v>
      </x:c>
      <x:c r="G6" s="29" t="str">
        <x:v>화면 상태 또는 안내 메시지</x:v>
      </x:c>
      <x:c r="H6" s="29" t="str">
        <x:v>사용자가 요청한 데이터가 누락 없이 표시되며 권한 없는 데이터는 노출되지 않는다.</x:v>
      </x:c>
      <x:c r="I6" s="41" t="str">
        <x:v>Must</x:v>
      </x:c>
      <x:c r="J6" s="41" t="str">
        <x:v>Frontend</x:v>
      </x:c>
      <x:c r="K6" s="41" t="str">
        <x:v>확정</x:v>
      </x:c>
      <x:c r="L6" s="77" t="str"/>
    </x:row>
    <x:row r="7" ht="54" customHeight="1">
      <x:c r="A7" s="102" t="str">
        <x:v>F-HOME-001</x:v>
      </x:c>
      <x:c r="B7" s="41" t="str">
        <x:v>프로젝트 소개 표시</x:v>
      </x:c>
      <x:c r="C7" s="29" t="str">
        <x:v>Living Abroad의 목적과 주요 AI 기능을 소개한다.</x:v>
      </x:c>
      <x:c r="D7" s="41" t="str">
        <x:v>전체 사용자</x:v>
      </x:c>
      <x:c r="E7" s="29" t="str">
        <x:v>서비스 접속 가능</x:v>
      </x:c>
      <x:c r="F7" s="29" t="str">
        <x:v>사용자 입력 또는 시스템 이벤트 수신 → 유효성·권한 검증 → 기능 처리 → 결과 반환</x:v>
      </x:c>
      <x:c r="G7" s="29" t="str">
        <x:v>화면 이동</x:v>
      </x:c>
      <x:c r="H7" s="29" t="str">
        <x:v>사용자가 요청한 데이터가 누락 없이 표시되며 권한 없는 데이터는 노출되지 않는다.</x:v>
      </x:c>
      <x:c r="I7" s="41" t="str">
        <x:v>Must</x:v>
      </x:c>
      <x:c r="J7" s="41" t="str">
        <x:v>Frontend</x:v>
      </x:c>
      <x:c r="K7" s="41" t="str">
        <x:v>확정</x:v>
      </x:c>
      <x:c r="L7" s="77" t="str"/>
    </x:row>
    <x:row r="8" ht="54" customHeight="1">
      <x:c r="A8" s="102" t="str">
        <x:v>F-HOME-002</x:v>
      </x:c>
      <x:c r="B8" s="41" t="str">
        <x:v>지원 국가·비자 안내</x:v>
      </x:c>
      <x:c r="C8" s="29" t="str">
        <x:v>캐나다, 호주, 영국과 각 대표 비자를 카드 형태로 안내한다.</x:v>
      </x:c>
      <x:c r="D8" s="41" t="str">
        <x:v>전체 사용자</x:v>
      </x:c>
      <x:c r="E8" s="29" t="str">
        <x:v>서비스 접속 가능</x:v>
      </x:c>
      <x:c r="F8" s="29" t="str">
        <x:v>사용자 입력 또는 시스템 이벤트 수신 → 유효성·권한 검증 → 기능 처리 → 결과 반환</x:v>
      </x:c>
      <x:c r="G8" s="29" t="str">
        <x:v>화면 이동</x:v>
      </x:c>
      <x:c r="H8" s="29" t="str">
        <x:v>정의된 사용자 액션 수행 시 예상 화면 또는 결과가 정상적으로 제공된다.</x:v>
      </x:c>
      <x:c r="I8" s="41" t="str">
        <x:v>Must</x:v>
      </x:c>
      <x:c r="J8" s="41" t="str">
        <x:v>Frontend</x:v>
      </x:c>
      <x:c r="K8" s="41" t="str">
        <x:v>확정</x:v>
      </x:c>
      <x:c r="L8" s="77" t="str">
        <x:v>국가별 대표 비자 1개</x:v>
      </x:c>
    </x:row>
    <x:row r="9" ht="54" customHeight="1">
      <x:c r="A9" s="102" t="str">
        <x:v>F-HOME-003</x:v>
      </x:c>
      <x:c r="B9" s="41" t="str">
        <x:v>AI 분석 시작</x:v>
      </x:c>
      <x:c r="C9" s="29" t="str">
        <x:v>로그인 여부를 확인한 후 분석 1단계 또는 로그인 화면으로 이동한다.</x:v>
      </x:c>
      <x:c r="D9" s="41" t="str">
        <x:v>전체 사용자</x:v>
      </x:c>
      <x:c r="E9" s="29" t="str">
        <x:v>서비스 접속 가능</x:v>
      </x:c>
      <x:c r="F9" s="29" t="str">
        <x:v>사용자 입력 또는 시스템 이벤트 수신 → 유효성·권한 검증 → 기능 처리 → 결과 반환</x:v>
      </x:c>
      <x:c r="G9" s="29" t="str">
        <x:v>화면 이동</x:v>
      </x:c>
      <x:c r="H9" s="29" t="str">
        <x:v>결과 값이 정의된 범위에 있고 캐나다·호주·영국 3개국 결과가 생성된다.</x:v>
      </x:c>
      <x:c r="I9" s="41" t="str">
        <x:v>Must</x:v>
      </x:c>
      <x:c r="J9" s="41" t="str">
        <x:v>Frontend</x:v>
      </x:c>
      <x:c r="K9" s="41" t="str">
        <x:v>확정</x:v>
      </x:c>
      <x:c r="L9" s="77" t="str"/>
    </x:row>
    <x:row r="10" ht="54" customHeight="1">
      <x:c r="A10" s="102" t="str">
        <x:v>F-HOME-004</x:v>
      </x:c>
      <x:c r="B10" s="41" t="str">
        <x:v>AI 상담 이동</x:v>
      </x:c>
      <x:c r="C10" s="29" t="str">
        <x:v>로그인 여부를 확인한 후 AI 상담 화면으로 이동한다.</x:v>
      </x:c>
      <x:c r="D10" s="41" t="str">
        <x:v>전체 사용자</x:v>
      </x:c>
      <x:c r="E10" s="29" t="str">
        <x:v>서비스 접속 가능</x:v>
      </x:c>
      <x:c r="F10" s="29" t="str">
        <x:v>사용자 입력 또는 시스템 이벤트 수신 → 유효성·권한 검증 → 기능 처리 → 결과 반환</x:v>
      </x:c>
      <x:c r="G10" s="29" t="str">
        <x:v>화면 이동</x:v>
      </x:c>
      <x:c r="H10" s="29" t="str">
        <x:v>정의된 사용자 액션 수행 시 예상 화면 또는 결과가 정상적으로 제공된다.</x:v>
      </x:c>
      <x:c r="I10" s="41" t="str">
        <x:v>Could</x:v>
      </x:c>
      <x:c r="J10" s="41" t="str">
        <x:v>Frontend</x:v>
      </x:c>
      <x:c r="K10" s="41" t="str">
        <x:v>검토</x:v>
      </x:c>
      <x:c r="L10" s="77" t="str"/>
    </x:row>
    <x:row r="11" ht="54" customHeight="1">
      <x:c r="A11" s="102" t="str">
        <x:v>F-AUTH-001</x:v>
      </x:c>
      <x:c r="B11" s="41" t="str">
        <x:v>회원가입 탭 전환</x:v>
      </x:c>
      <x:c r="C11" s="29" t="str">
        <x:v>로그인 화면에서 회원가입 입력 폼으로 전환한다.</x:v>
      </x:c>
      <x:c r="D11" s="41" t="str">
        <x:v>비로그인 사용자</x:v>
      </x:c>
      <x:c r="E11" s="29" t="str">
        <x:v>비로그인 상태</x:v>
      </x:c>
      <x:c r="F11" s="29" t="str">
        <x:v>사용자 입력 또는 시스템 이벤트 수신 → 유효성·권한 검증 → 기능 처리 → 결과 반환</x:v>
      </x:c>
      <x:c r="G11" s="29" t="str">
        <x:v>사용자 계정 또는 JWT</x:v>
      </x:c>
      <x:c r="H11" s="29" t="str">
        <x:v>정의된 사용자 액션 수행 시 예상 화면 또는 결과가 정상적으로 제공된다.</x:v>
      </x:c>
      <x:c r="I11" s="41" t="str">
        <x:v>Must</x:v>
      </x:c>
      <x:c r="J11" s="41" t="str">
        <x:v>Frontend</x:v>
      </x:c>
      <x:c r="K11" s="41" t="str">
        <x:v>확정</x:v>
      </x:c>
      <x:c r="L11" s="77" t="str"/>
    </x:row>
    <x:row r="12" ht="54" customHeight="1">
      <x:c r="A12" s="102" t="str">
        <x:v>F-AUTH-002</x:v>
      </x:c>
      <x:c r="B12" s="41" t="str">
        <x:v>회원가입 입력 검증</x:v>
      </x:c>
      <x:c r="C12" s="29" t="str">
        <x:v>이름, 이메일, 비밀번호의 필수값과 형식을 검증한다.</x:v>
      </x:c>
      <x:c r="D12" s="41" t="str">
        <x:v>비로그인 사용자</x:v>
      </x:c>
      <x:c r="E12" s="29" t="str">
        <x:v>비로그인 상태</x:v>
      </x:c>
      <x:c r="F12" s="29" t="str">
        <x:v>사용자 입력 또는 시스템 이벤트 수신 → 유효성·권한 검증 → 기능 처리 → 결과 반환</x:v>
      </x:c>
      <x:c r="G12" s="29" t="str">
        <x:v>사용자 계정 또는 JWT</x:v>
      </x:c>
      <x:c r="H12" s="29" t="str">
        <x:v>유효하지 않은 값은 제출되지 않고 항목별 오류 문구가 표시된다.</x:v>
      </x:c>
      <x:c r="I12" s="41" t="str">
        <x:v>Must</x:v>
      </x:c>
      <x:c r="J12" s="41" t="str">
        <x:v>Frontend</x:v>
      </x:c>
      <x:c r="K12" s="41" t="str">
        <x:v>확정</x:v>
      </x:c>
      <x:c r="L12" s="77" t="str"/>
    </x:row>
    <x:row r="13" ht="54" customHeight="1">
      <x:c r="A13" s="102" t="str">
        <x:v>F-AUTH-003</x:v>
      </x:c>
      <x:c r="B13" s="41" t="str">
        <x:v>신규 사용자 등록</x:v>
      </x:c>
      <x:c r="C13" s="29" t="str">
        <x:v>중복 이메일을 확인하고 비밀번호를 암호화하여 사용자 계정을 생성한다.</x:v>
      </x:c>
      <x:c r="D13" s="41" t="str">
        <x:v>비로그인 사용자</x:v>
      </x:c>
      <x:c r="E13" s="29" t="str">
        <x:v>비로그인 상태</x:v>
      </x:c>
      <x:c r="F13" s="29" t="str">
        <x:v>사용자 입력 또는 시스템 이벤트 수신 → 유효성·권한 검증 → 기능 처리 → 결과 반환</x:v>
      </x:c>
      <x:c r="G13" s="29" t="str">
        <x:v>사용자 계정 또는 JWT</x:v>
      </x:c>
      <x:c r="H13" s="29" t="str">
        <x:v>요청 성공 후 데이터가 저장되고 재조회 시 동일한 내용이 반환된다.</x:v>
      </x:c>
      <x:c r="I13" s="41" t="str">
        <x:v>Must</x:v>
      </x:c>
      <x:c r="J13" s="41" t="str">
        <x:v>Backend</x:v>
      </x:c>
      <x:c r="K13" s="41" t="str">
        <x:v>확정</x:v>
      </x:c>
      <x:c r="L13" s="77" t="str"/>
    </x:row>
    <x:row r="14" ht="54" customHeight="1">
      <x:c r="A14" s="102" t="str">
        <x:v>F-AUTH-004</x:v>
      </x:c>
      <x:c r="B14" s="41" t="str">
        <x:v>로그인 입력 검증</x:v>
      </x:c>
      <x:c r="C14" s="29" t="str">
        <x:v>이메일과 비밀번호 입력 여부 및 이메일 형식을 검증한다.</x:v>
      </x:c>
      <x:c r="D14" s="41" t="str">
        <x:v>비로그인 사용자</x:v>
      </x:c>
      <x:c r="E14" s="29" t="str">
        <x:v>비로그인 상태</x:v>
      </x:c>
      <x:c r="F14" s="29" t="str">
        <x:v>사용자 입력 또는 시스템 이벤트 수신 → 유효성·권한 검증 → 기능 처리 → 결과 반환</x:v>
      </x:c>
      <x:c r="G14" s="29" t="str">
        <x:v>사용자 계정 또는 JWT</x:v>
      </x:c>
      <x:c r="H14" s="29" t="str">
        <x:v>유효하지 않은 값은 제출되지 않고 항목별 오류 문구가 표시된다.</x:v>
      </x:c>
      <x:c r="I14" s="41" t="str">
        <x:v>Must</x:v>
      </x:c>
      <x:c r="J14" s="41" t="str">
        <x:v>Frontend</x:v>
      </x:c>
      <x:c r="K14" s="41" t="str">
        <x:v>확정</x:v>
      </x:c>
      <x:c r="L14" s="77" t="str"/>
    </x:row>
    <x:row r="15" ht="54" customHeight="1">
      <x:c r="A15" s="102" t="str">
        <x:v>F-AUTH-005</x:v>
      </x:c>
      <x:c r="B15" s="41" t="str">
        <x:v>사용자 로그인</x:v>
      </x:c>
      <x:c r="C15" s="29" t="str">
        <x:v>사용자 인증 후 JWT를 발급하고 프론트엔드에 반환한다.</x:v>
      </x:c>
      <x:c r="D15" s="41" t="str">
        <x:v>비로그인 사용자</x:v>
      </x:c>
      <x:c r="E15" s="29" t="str">
        <x:v>비로그인 상태</x:v>
      </x:c>
      <x:c r="F15" s="29" t="str">
        <x:v>사용자 입력 또는 시스템 이벤트 수신 → 유효성·권한 검증 → 기능 처리 → 결과 반환</x:v>
      </x:c>
      <x:c r="G15" s="29" t="str">
        <x:v>사용자 계정 또는 JWT</x:v>
      </x:c>
      <x:c r="H15" s="29" t="str">
        <x:v>올바른 계정은 로그인되고 잘못된 인증정보는 통합 오류 메시지를 반환한다.</x:v>
      </x:c>
      <x:c r="I15" s="41" t="str">
        <x:v>Must</x:v>
      </x:c>
      <x:c r="J15" s="41" t="str">
        <x:v>Backend</x:v>
      </x:c>
      <x:c r="K15" s="41" t="str">
        <x:v>확정</x:v>
      </x:c>
      <x:c r="L15" s="77" t="str"/>
    </x:row>
    <x:row r="16" ht="54" customHeight="1">
      <x:c r="A16" s="102" t="str">
        <x:v>F-AUTH-006</x:v>
      </x:c>
      <x:c r="B16" s="41" t="str">
        <x:v>JWT 저장 및 인증 헤더 적용</x:v>
      </x:c>
      <x:c r="C16" s="29" t="str">
        <x:v>발급받은 JWT를 저장하고 보호 API 요청에 Authorization 헤더를 추가한다.</x:v>
      </x:c>
      <x:c r="D16" s="41" t="str">
        <x:v>로그인 사용자</x:v>
      </x:c>
      <x:c r="E16" s="29" t="str">
        <x:v>비로그인 상태</x:v>
      </x:c>
      <x:c r="F16" s="29" t="str">
        <x:v>사용자 입력 또는 시스템 이벤트 수신 → 유효성·권한 검증 → 기능 처리 → 결과 반환</x:v>
      </x:c>
      <x:c r="G16" s="29" t="str">
        <x:v>사용자 계정 또는 JWT</x:v>
      </x:c>
      <x:c r="H16" s="29" t="str">
        <x:v>요청 성공 후 데이터가 저장되고 재조회 시 동일한 내용이 반환된다.</x:v>
      </x:c>
      <x:c r="I16" s="41" t="str">
        <x:v>Must</x:v>
      </x:c>
      <x:c r="J16" s="41" t="str">
        <x:v>Frontend</x:v>
      </x:c>
      <x:c r="K16" s="41" t="str">
        <x:v>확정</x:v>
      </x:c>
      <x:c r="L16" s="77" t="str"/>
    </x:row>
    <x:row r="17" ht="54" customHeight="1">
      <x:c r="A17" s="102" t="str">
        <x:v>F-AUTH-007</x:v>
      </x:c>
      <x:c r="B17" s="41" t="str">
        <x:v>로그아웃</x:v>
      </x:c>
      <x:c r="C17" s="29" t="str">
        <x:v>저장된 인증 정보와 사용자 상태를 제거하고 홈으로 이동한다.</x:v>
      </x:c>
      <x:c r="D17" s="41" t="str">
        <x:v>로그인 사용자</x:v>
      </x:c>
      <x:c r="E17" s="29" t="str">
        <x:v>비로그인 상태</x:v>
      </x:c>
      <x:c r="F17" s="29" t="str">
        <x:v>사용자 입력 또는 시스템 이벤트 수신 → 유효성·권한 검증 → 기능 처리 → 결과 반환</x:v>
      </x:c>
      <x:c r="G17" s="29" t="str">
        <x:v>사용자 계정 또는 JWT</x:v>
      </x:c>
      <x:c r="H17" s="29" t="str">
        <x:v>정의된 사용자 액션 수행 시 예상 화면 또는 결과가 정상적으로 제공된다.</x:v>
      </x:c>
      <x:c r="I17" s="41" t="str">
        <x:v>Must</x:v>
      </x:c>
      <x:c r="J17" s="41" t="str">
        <x:v>Frontend</x:v>
      </x:c>
      <x:c r="K17" s="41" t="str">
        <x:v>확정</x:v>
      </x:c>
      <x:c r="L17" s="77" t="str"/>
    </x:row>
    <x:row r="18" ht="54" customHeight="1">
      <x:c r="A18" s="102" t="str">
        <x:v>F-PROF-001</x:v>
      </x:c>
      <x:c r="B18" s="41" t="str">
        <x:v>내 프로필 조회</x:v>
      </x:c>
      <x:c r="C18" s="29" t="str">
        <x:v>로그인 사용자의 기존 기본 정보를 불러와 분석 입력 화면에 표시한다.</x:v>
      </x:c>
      <x:c r="D18" s="41" t="str">
        <x:v>로그인 사용자</x:v>
      </x:c>
      <x:c r="E18" s="29" t="str">
        <x:v>로그인 및 유효한 JWT</x:v>
      </x:c>
      <x:c r="F18" s="29" t="str">
        <x:v>사용자 입력 또는 시스템 이벤트 수신 → 유효성·권한 검증 → 기능 처리 → 결과 반환</x:v>
      </x:c>
      <x:c r="G18" s="29" t="str">
        <x:v>저장된 사용자 프로필</x:v>
      </x:c>
      <x:c r="H18" s="29" t="str">
        <x:v>사용자가 요청한 데이터가 누락 없이 표시되며 권한 없는 데이터는 노출되지 않는다.</x:v>
      </x:c>
      <x:c r="I18" s="41" t="str">
        <x:v>Should</x:v>
      </x:c>
      <x:c r="J18" s="41" t="str">
        <x:v>Backend</x:v>
      </x:c>
      <x:c r="K18" s="41" t="str">
        <x:v>확정</x:v>
      </x:c>
      <x:c r="L18" s="77" t="str"/>
    </x:row>
    <x:row r="19" ht="54" customHeight="1">
      <x:c r="A19" s="102" t="str">
        <x:v>F-PROF-002</x:v>
      </x:c>
      <x:c r="B19" s="41" t="str">
        <x:v>기본 정보 입력</x:v>
      </x:c>
      <x:c r="C19" s="29" t="str">
        <x:v>나이, 최종 학력, 전공을 입력받는다.</x:v>
      </x:c>
      <x:c r="D19" s="41" t="str">
        <x:v>로그인 사용자</x:v>
      </x:c>
      <x:c r="E19" s="29" t="str">
        <x:v>로그인 및 유효한 JWT</x:v>
      </x:c>
      <x:c r="F19" s="29" t="str">
        <x:v>사용자 입력 또는 시스템 이벤트 수신 → 유효성·권한 검증 → 기능 처리 → 결과 반환</x:v>
      </x:c>
      <x:c r="G19" s="29" t="str">
        <x:v>저장된 사용자 프로필</x:v>
      </x:c>
      <x:c r="H19" s="29" t="str">
        <x:v>정의된 사용자 액션 수행 시 예상 화면 또는 결과가 정상적으로 제공된다.</x:v>
      </x:c>
      <x:c r="I19" s="41" t="str">
        <x:v>Must</x:v>
      </x:c>
      <x:c r="J19" s="41" t="str">
        <x:v>Frontend</x:v>
      </x:c>
      <x:c r="K19" s="41" t="str">
        <x:v>확정</x:v>
      </x:c>
      <x:c r="L19" s="77" t="str"/>
    </x:row>
    <x:row r="20" ht="54" customHeight="1">
      <x:c r="A20" s="102" t="str">
        <x:v>F-PROF-003</x:v>
      </x:c>
      <x:c r="B20" s="41" t="str">
        <x:v>경력 정보 입력</x:v>
      </x:c>
      <x:c r="C20" s="29" t="str">
        <x:v>현재 직업과 관련 경력 연수를 입력받는다.</x:v>
      </x:c>
      <x:c r="D20" s="41" t="str">
        <x:v>로그인 사용자</x:v>
      </x:c>
      <x:c r="E20" s="29" t="str">
        <x:v>로그인 및 유효한 JWT</x:v>
      </x:c>
      <x:c r="F20" s="29" t="str">
        <x:v>사용자 입력 또는 시스템 이벤트 수신 → 유효성·권한 검증 → 기능 처리 → 결과 반환</x:v>
      </x:c>
      <x:c r="G20" s="29" t="str">
        <x:v>저장된 사용자 프로필</x:v>
      </x:c>
      <x:c r="H20" s="29" t="str">
        <x:v>정의된 사용자 액션 수행 시 예상 화면 또는 결과가 정상적으로 제공된다.</x:v>
      </x:c>
      <x:c r="I20" s="41" t="str">
        <x:v>Must</x:v>
      </x:c>
      <x:c r="J20" s="41" t="str">
        <x:v>Frontend</x:v>
      </x:c>
      <x:c r="K20" s="41" t="str">
        <x:v>확정</x:v>
      </x:c>
      <x:c r="L20" s="77" t="str"/>
    </x:row>
    <x:row r="21" ht="54" customHeight="1">
      <x:c r="A21" s="102" t="str">
        <x:v>F-PROF-004</x:v>
      </x:c>
      <x:c r="B21" s="41" t="str">
        <x:v>프로필 입력값 검증</x:v>
      </x:c>
      <x:c r="C21" s="29" t="str">
        <x:v>나이 범위, 문자열 길이, 경력 연수 범위를 검증한다.</x:v>
      </x:c>
      <x:c r="D21" s="41" t="str">
        <x:v>로그인 사용자</x:v>
      </x:c>
      <x:c r="E21" s="29" t="str">
        <x:v>로그인 및 유효한 JWT</x:v>
      </x:c>
      <x:c r="F21" s="29" t="str">
        <x:v>사용자 입력 또는 시스템 이벤트 수신 → 유효성·권한 검증 → 기능 처리 → 결과 반환</x:v>
      </x:c>
      <x:c r="G21" s="29" t="str">
        <x:v>저장된 사용자 프로필</x:v>
      </x:c>
      <x:c r="H21" s="29" t="str">
        <x:v>유효하지 않은 값은 제출되지 않고 항목별 오류 문구가 표시된다.</x:v>
      </x:c>
      <x:c r="I21" s="41" t="str">
        <x:v>Must</x:v>
      </x:c>
      <x:c r="J21" s="41" t="str">
        <x:v>Frontend/Backend</x:v>
      </x:c>
      <x:c r="K21" s="41" t="str">
        <x:v>확정</x:v>
      </x:c>
      <x:c r="L21" s="77" t="str"/>
    </x:row>
    <x:row r="22" ht="54" customHeight="1">
      <x:c r="A22" s="102" t="str">
        <x:v>F-PROF-005</x:v>
      </x:c>
      <x:c r="B22" s="41" t="str">
        <x:v>프로필 저장·수정</x:v>
      </x:c>
      <x:c r="C22" s="29" t="str">
        <x:v>사용자의 분석용 프로필을 신규 저장하거나 수정한다.</x:v>
      </x:c>
      <x:c r="D22" s="41" t="str">
        <x:v>로그인 사용자</x:v>
      </x:c>
      <x:c r="E22" s="29" t="str">
        <x:v>로그인 및 유효한 JWT</x:v>
      </x:c>
      <x:c r="F22" s="29" t="str">
        <x:v>사용자 입력 또는 시스템 이벤트 수신 → 유효성·권한 검증 → 기능 처리 → 결과 반환</x:v>
      </x:c>
      <x:c r="G22" s="29" t="str">
        <x:v>저장된 사용자 프로필</x:v>
      </x:c>
      <x:c r="H22" s="29" t="str">
        <x:v>요청 성공 후 데이터가 저장되고 재조회 시 동일한 내용이 반환된다.</x:v>
      </x:c>
      <x:c r="I22" s="41" t="str">
        <x:v>Must</x:v>
      </x:c>
      <x:c r="J22" s="41" t="str">
        <x:v>Backend</x:v>
      </x:c>
      <x:c r="K22" s="41" t="str">
        <x:v>확정</x:v>
      </x:c>
      <x:c r="L22" s="77" t="str"/>
    </x:row>
    <x:row r="23" ht="54" customHeight="1">
      <x:c r="A23" s="102" t="str">
        <x:v>F-ANA-001</x:v>
      </x:c>
      <x:c r="B23" s="41" t="str">
        <x:v>언어시험 정보 입력</x:v>
      </x:c>
      <x:c r="C23" s="29" t="str">
        <x:v>언어시험 종류와 점수를 입력받고 시험별 범위를 검증한다.</x:v>
      </x:c>
      <x:c r="D23" s="41" t="str">
        <x:v>로그인 사용자</x:v>
      </x:c>
      <x:c r="E23" s="29" t="str">
        <x:v>로그인 및 프로필 입력</x:v>
      </x:c>
      <x:c r="F23" s="29" t="str">
        <x:v>사용자 입력 또는 시스템 이벤트 수신 → 유효성·권한 검증 → 기능 처리 → 결과 반환</x:v>
      </x:c>
      <x:c r="G23" s="29" t="str">
        <x:v>analysisId 또는 분석 상태</x:v>
      </x:c>
      <x:c r="H23" s="29" t="str">
        <x:v>정의된 사용자 액션 수행 시 예상 화면 또는 결과가 정상적으로 제공된다.</x:v>
      </x:c>
      <x:c r="I23" s="41" t="str">
        <x:v>Must</x:v>
      </x:c>
      <x:c r="J23" s="41" t="str">
        <x:v>Frontend/Backend</x:v>
      </x:c>
      <x:c r="K23" s="41" t="str">
        <x:v>확정</x:v>
      </x:c>
      <x:c r="L23" s="77" t="str"/>
    </x:row>
    <x:row r="24" ht="54" customHeight="1">
      <x:c r="A24" s="102" t="str">
        <x:v>F-ANA-002</x:v>
      </x:c>
      <x:c r="B24" s="41" t="str">
        <x:v>이주 조건 입력</x:v>
      </x:c>
      <x:c r="C24" s="29" t="str">
        <x:v>보유 자금, 가족 동반 여부, 선호 국가를 입력받는다.</x:v>
      </x:c>
      <x:c r="D24" s="41" t="str">
        <x:v>로그인 사용자</x:v>
      </x:c>
      <x:c r="E24" s="29" t="str">
        <x:v>로그인 및 프로필 입력</x:v>
      </x:c>
      <x:c r="F24" s="29" t="str">
        <x:v>사용자 입력 또는 시스템 이벤트 수신 → 유효성·권한 검증 → 기능 처리 → 결과 반환</x:v>
      </x:c>
      <x:c r="G24" s="29" t="str">
        <x:v>analysisId 또는 분석 상태</x:v>
      </x:c>
      <x:c r="H24" s="29" t="str">
        <x:v>정의된 사용자 액션 수행 시 예상 화면 또는 결과가 정상적으로 제공된다.</x:v>
      </x:c>
      <x:c r="I24" s="41" t="str">
        <x:v>Must</x:v>
      </x:c>
      <x:c r="J24" s="41" t="str">
        <x:v>Frontend</x:v>
      </x:c>
      <x:c r="K24" s="41" t="str">
        <x:v>확정</x:v>
      </x:c>
      <x:c r="L24" s="77" t="str"/>
    </x:row>
    <x:row r="25" ht="54" customHeight="1">
      <x:c r="A25" s="102" t="str">
        <x:v>F-ANA-003</x:v>
      </x:c>
      <x:c r="B25" s="41" t="str">
        <x:v>경력기술서 입력</x:v>
      </x:c>
      <x:c r="C25" s="29" t="str">
        <x:v>직업 매칭을 위한 경력과 담당 업무 설명을 입력받는다.</x:v>
      </x:c>
      <x:c r="D25" s="41" t="str">
        <x:v>로그인 사용자</x:v>
      </x:c>
      <x:c r="E25" s="29" t="str">
        <x:v>로그인 및 프로필 입력</x:v>
      </x:c>
      <x:c r="F25" s="29" t="str">
        <x:v>사용자 입력 또는 시스템 이벤트 수신 → 유효성·권한 검증 → 기능 처리 → 결과 반환</x:v>
      </x:c>
      <x:c r="G25" s="29" t="str">
        <x:v>analysisId 또는 분석 상태</x:v>
      </x:c>
      <x:c r="H25" s="29" t="str">
        <x:v>정의된 사용자 액션 수행 시 예상 화면 또는 결과가 정상적으로 제공된다.</x:v>
      </x:c>
      <x:c r="I25" s="41" t="str">
        <x:v>Must</x:v>
      </x:c>
      <x:c r="J25" s="41" t="str">
        <x:v>Frontend/Backend</x:v>
      </x:c>
      <x:c r="K25" s="41" t="str">
        <x:v>확정</x:v>
      </x:c>
      <x:c r="L25" s="77" t="str">
        <x:v>100~2000자 권장</x:v>
      </x:c>
    </x:row>
    <x:row r="26" ht="54" customHeight="1">
      <x:c r="A26" s="102" t="str">
        <x:v>F-ANA-004</x:v>
      </x:c>
      <x:c r="B26" s="41" t="str">
        <x:v>분석 요청 생성</x:v>
      </x:c>
      <x:c r="C26" s="29" t="str">
        <x:v>입력값과 사용자 정보를 저장하고 분석 ID와 PENDING 상태를 생성한다.</x:v>
      </x:c>
      <x:c r="D26" s="41" t="str">
        <x:v>로그인 사용자</x:v>
      </x:c>
      <x:c r="E26" s="29" t="str">
        <x:v>로그인 및 프로필 입력</x:v>
      </x:c>
      <x:c r="F26" s="29" t="str">
        <x:v>사용자 입력 또는 시스템 이벤트 수신 → 유효성·권한 검증 → 기능 처리 → 결과 반환</x:v>
      </x:c>
      <x:c r="G26" s="29" t="str">
        <x:v>analysisId 또는 분석 상태</x:v>
      </x:c>
      <x:c r="H26" s="29" t="str">
        <x:v>요청 성공 후 데이터가 저장되고 재조회 시 동일한 내용이 반환된다.</x:v>
      </x:c>
      <x:c r="I26" s="41" t="str">
        <x:v>Must</x:v>
      </x:c>
      <x:c r="J26" s="41" t="str">
        <x:v>Backend</x:v>
      </x:c>
      <x:c r="K26" s="41" t="str">
        <x:v>확정</x:v>
      </x:c>
      <x:c r="L26" s="77" t="str"/>
    </x:row>
    <x:row r="27" ht="54" customHeight="1">
      <x:c r="A27" s="102" t="str">
        <x:v>F-ANA-005</x:v>
      </x:c>
      <x:c r="B27" s="41" t="str">
        <x:v>분석 상태 조회</x:v>
      </x:c>
      <x:c r="C27" s="29" t="str">
        <x:v>분석 완료 또는 실패까지 분석 상태를 주기적으로 조회한다.</x:v>
      </x:c>
      <x:c r="D27" s="41" t="str">
        <x:v>로그인 사용자</x:v>
      </x:c>
      <x:c r="E27" s="29" t="str">
        <x:v>로그인 및 프로필 입력</x:v>
      </x:c>
      <x:c r="F27" s="29" t="str">
        <x:v>사용자 입력 또는 시스템 이벤트 수신 → 유효성·권한 검증 → 기능 처리 → 결과 반환</x:v>
      </x:c>
      <x:c r="G27" s="29" t="str">
        <x:v>analysisId 또는 분석 상태</x:v>
      </x:c>
      <x:c r="H27" s="29" t="str">
        <x:v>사용자가 요청한 데이터가 누락 없이 표시되며 권한 없는 데이터는 노출되지 않는다.</x:v>
      </x:c>
      <x:c r="I27" s="41" t="str">
        <x:v>Must</x:v>
      </x:c>
      <x:c r="J27" s="41" t="str">
        <x:v>Frontend/Backend</x:v>
      </x:c>
      <x:c r="K27" s="41" t="str">
        <x:v>확정</x:v>
      </x:c>
      <x:c r="L27" s="77" t="str">
        <x:v>2~3초 간격</x:v>
      </x:c>
    </x:row>
    <x:row r="28" ht="54" customHeight="1">
      <x:c r="A28" s="102" t="str">
        <x:v>F-ANA-006</x:v>
      </x:c>
      <x:c r="B28" s="41" t="str">
        <x:v>분석 진행 문구 표시</x:v>
      </x:c>
      <x:c r="C28" s="29" t="str">
        <x:v>비자 규칙, 국가 환경, 경력 매칭 등 현재 분석 단계를 안내한다.</x:v>
      </x:c>
      <x:c r="D28" s="41" t="str">
        <x:v>로그인 사용자</x:v>
      </x:c>
      <x:c r="E28" s="29" t="str">
        <x:v>로그인 및 프로필 입력</x:v>
      </x:c>
      <x:c r="F28" s="29" t="str">
        <x:v>사용자 입력 또는 시스템 이벤트 수신 → 유효성·권한 검증 → 기능 처리 → 결과 반환</x:v>
      </x:c>
      <x:c r="G28" s="29" t="str">
        <x:v>analysisId 또는 분석 상태</x:v>
      </x:c>
      <x:c r="H28" s="29" t="str">
        <x:v>사용자가 요청한 데이터가 누락 없이 표시되며 권한 없는 데이터는 노출되지 않는다.</x:v>
      </x:c>
      <x:c r="I28" s="41" t="str">
        <x:v>Could</x:v>
      </x:c>
      <x:c r="J28" s="41" t="str">
        <x:v>Frontend</x:v>
      </x:c>
      <x:c r="K28" s="41" t="str">
        <x:v>확정</x:v>
      </x:c>
      <x:c r="L28" s="77" t="str"/>
    </x:row>
    <x:row r="29" ht="54" customHeight="1">
      <x:c r="A29" s="102" t="str">
        <x:v>F-ANA-007</x:v>
      </x:c>
      <x:c r="B29" s="41" t="str">
        <x:v>분석 실패 재시도</x:v>
      </x:c>
      <x:c r="C29" s="29" t="str">
        <x:v>AI 서버 오류 발생 시 사용자에게 오류를 안내하고 재시도를 제공한다.</x:v>
      </x:c>
      <x:c r="D29" s="41" t="str">
        <x:v>로그인 사용자</x:v>
      </x:c>
      <x:c r="E29" s="29" t="str">
        <x:v>로그인 및 프로필 입력</x:v>
      </x:c>
      <x:c r="F29" s="29" t="str">
        <x:v>사용자 입력 또는 시스템 이벤트 수신 → 유효성·권한 검증 → 기능 처리 → 결과 반환</x:v>
      </x:c>
      <x:c r="G29" s="29" t="str">
        <x:v>analysisId 또는 분석 상태</x:v>
      </x:c>
      <x:c r="H29" s="29" t="str">
        <x:v>결과 값이 정의된 범위에 있고 캐나다·호주·영국 3개국 결과가 생성된다.</x:v>
      </x:c>
      <x:c r="I29" s="41" t="str">
        <x:v>Should</x:v>
      </x:c>
      <x:c r="J29" s="41" t="str">
        <x:v>Frontend/Backend</x:v>
      </x:c>
      <x:c r="K29" s="41" t="str">
        <x:v>검토</x:v>
      </x:c>
      <x:c r="L29" s="77" t="str"/>
    </x:row>
    <x:row r="30" ht="54" customHeight="1">
      <x:c r="A30" s="102" t="str">
        <x:v>F-AI-001</x:v>
      </x:c>
      <x:c r="B30" s="41" t="str">
        <x:v>캐나다 비자 규칙 분석</x:v>
      </x:c>
      <x:c r="C30" s="29" t="str">
        <x:v>사용자 입력을 캐나다 Express Entry FSW 조건과 비교하여 규칙 점수를 산출한다.</x:v>
      </x:c>
      <x:c r="D30" s="41" t="str">
        <x:v>시스템</x:v>
      </x:c>
      <x:c r="E30" s="29" t="str">
        <x:v>유효한 분석 요청과 모델·데이터 준비</x:v>
      </x:c>
      <x:c r="F30" s="29" t="str">
        <x:v>사용자 입력 또는 시스템 이벤트 수신 → 유효성·권한 검증 → 기능 처리 → 결과 반환</x:v>
      </x:c>
      <x:c r="G30" s="29" t="str">
        <x:v>국가별 분석 결과</x:v>
      </x:c>
      <x:c r="H30" s="29" t="str">
        <x:v>결과 값이 정의된 범위에 있고 캐나다·호주·영국 3개국 결과가 생성된다.</x:v>
      </x:c>
      <x:c r="I30" s="41" t="str">
        <x:v>Must</x:v>
      </x:c>
      <x:c r="J30" s="41" t="str">
        <x:v>AI Server</x:v>
      </x:c>
      <x:c r="K30" s="41" t="str">
        <x:v>확정</x:v>
      </x:c>
      <x:c r="L30" s="77" t="str">
        <x:v>공식 정책 기반</x:v>
      </x:c>
    </x:row>
    <x:row r="31" ht="54" customHeight="1">
      <x:c r="A31" s="102" t="str">
        <x:v>F-AI-002</x:v>
      </x:c>
      <x:c r="B31" s="41" t="str">
        <x:v>호주 비자 규칙 분석</x:v>
      </x:c>
      <x:c r="C31" s="29" t="str">
        <x:v>사용자 입력을 호주 Subclass 189 조건과 비교하여 규칙 점수를 산출한다.</x:v>
      </x:c>
      <x:c r="D31" s="41" t="str">
        <x:v>시스템</x:v>
      </x:c>
      <x:c r="E31" s="29" t="str">
        <x:v>유효한 분석 요청과 모델·데이터 준비</x:v>
      </x:c>
      <x:c r="F31" s="29" t="str">
        <x:v>사용자 입력 또는 시스템 이벤트 수신 → 유효성·권한 검증 → 기능 처리 → 결과 반환</x:v>
      </x:c>
      <x:c r="G31" s="29" t="str">
        <x:v>국가별 분석 결과</x:v>
      </x:c>
      <x:c r="H31" s="29" t="str">
        <x:v>결과 값이 정의된 범위에 있고 캐나다·호주·영국 3개국 결과가 생성된다.</x:v>
      </x:c>
      <x:c r="I31" s="41" t="str">
        <x:v>Must</x:v>
      </x:c>
      <x:c r="J31" s="41" t="str">
        <x:v>AI Server</x:v>
      </x:c>
      <x:c r="K31" s="41" t="str">
        <x:v>확정</x:v>
      </x:c>
      <x:c r="L31" s="77" t="str">
        <x:v>공식 정책 기반</x:v>
      </x:c>
    </x:row>
    <x:row r="32" ht="54" customHeight="1">
      <x:c r="A32" s="102" t="str">
        <x:v>F-AI-003</x:v>
      </x:c>
      <x:c r="B32" s="41" t="str">
        <x:v>영국 비자 규칙 분석</x:v>
      </x:c>
      <x:c r="C32" s="29" t="str">
        <x:v>사용자 입력을 영국 Skilled Worker 조건과 비교하여 규칙 점수를 산출한다.</x:v>
      </x:c>
      <x:c r="D32" s="41" t="str">
        <x:v>시스템</x:v>
      </x:c>
      <x:c r="E32" s="29" t="str">
        <x:v>유효한 분석 요청과 모델·데이터 준비</x:v>
      </x:c>
      <x:c r="F32" s="29" t="str">
        <x:v>사용자 입력 또는 시스템 이벤트 수신 → 유효성·권한 검증 → 기능 처리 → 결과 반환</x:v>
      </x:c>
      <x:c r="G32" s="29" t="str">
        <x:v>국가별 분석 결과</x:v>
      </x:c>
      <x:c r="H32" s="29" t="str">
        <x:v>결과 값이 정의된 범위에 있고 캐나다·호주·영국 3개국 결과가 생성된다.</x:v>
      </x:c>
      <x:c r="I32" s="41" t="str">
        <x:v>Must</x:v>
      </x:c>
      <x:c r="J32" s="41" t="str">
        <x:v>AI Server</x:v>
      </x:c>
      <x:c r="K32" s="41" t="str">
        <x:v>확정</x:v>
      </x:c>
      <x:c r="L32" s="77" t="str">
        <x:v>스폰서·Job Offer는 추가 확인</x:v>
      </x:c>
    </x:row>
    <x:row r="33" ht="54" customHeight="1">
      <x:c r="A33" s="102" t="str">
        <x:v>F-AI-004</x:v>
      </x:c>
      <x:c r="B33" s="41" t="str">
        <x:v>국가 환경 군집 분석</x:v>
      </x:c>
      <x:c r="C33" s="29" t="str">
        <x:v>국가 환경 데이터와 K-Means 모델을 이용해 국가별 환경 유형을 분류한다.</x:v>
      </x:c>
      <x:c r="D33" s="41" t="str">
        <x:v>시스템</x:v>
      </x:c>
      <x:c r="E33" s="29" t="str">
        <x:v>유효한 분석 요청과 모델·데이터 준비</x:v>
      </x:c>
      <x:c r="F33" s="29" t="str">
        <x:v>사용자 입력 또는 시스템 이벤트 수신 → 유효성·권한 검증 → 기능 처리 → 결과 반환</x:v>
      </x:c>
      <x:c r="G33" s="29" t="str">
        <x:v>국가별 분석 결과</x:v>
      </x:c>
      <x:c r="H33" s="29" t="str">
        <x:v>결과 값이 정의된 범위에 있고 캐나다·호주·영국 3개국 결과가 생성된다.</x:v>
      </x:c>
      <x:c r="I33" s="41" t="str">
        <x:v>Must</x:v>
      </x:c>
      <x:c r="J33" s="41" t="str">
        <x:v>AI Server</x:v>
      </x:c>
      <x:c r="K33" s="41" t="str">
        <x:v>확정</x:v>
      </x:c>
      <x:c r="L33" s="77" t="str">
        <x:v>36개국 데이터로 학습</x:v>
      </x:c>
    </x:row>
    <x:row r="34" ht="54" customHeight="1">
      <x:c r="A34" s="102" t="str">
        <x:v>F-AI-005</x:v>
      </x:c>
      <x:c r="B34" s="41" t="str">
        <x:v>국가 환경 점수 산출</x:v>
      </x:c>
      <x:c r="C34" s="29" t="str">
        <x:v>이민·고용·교육·정착 관련 지표를 이용해 국가 환경 점수를 계산한다.</x:v>
      </x:c>
      <x:c r="D34" s="41" t="str">
        <x:v>시스템</x:v>
      </x:c>
      <x:c r="E34" s="29" t="str">
        <x:v>유효한 분석 요청과 모델·데이터 준비</x:v>
      </x:c>
      <x:c r="F34" s="29" t="str">
        <x:v>사용자 입력 또는 시스템 이벤트 수신 → 유효성·권한 검증 → 기능 처리 → 결과 반환</x:v>
      </x:c>
      <x:c r="G34" s="29" t="str">
        <x:v>국가별 분석 결과</x:v>
      </x:c>
      <x:c r="H34" s="29" t="str">
        <x:v>결과 값이 정의된 범위에 있고 캐나다·호주·영국 3개국 결과가 생성된다.</x:v>
      </x:c>
      <x:c r="I34" s="41" t="str">
        <x:v>Must</x:v>
      </x:c>
      <x:c r="J34" s="41" t="str">
        <x:v>AI Server</x:v>
      </x:c>
      <x:c r="K34" s="41" t="str">
        <x:v>확정</x:v>
      </x:c>
      <x:c r="L34" s="77" t="str">
        <x:v>승인 확률 아님</x:v>
      </x:c>
    </x:row>
    <x:row r="35" ht="54" customHeight="1">
      <x:c r="A35" s="102" t="str">
        <x:v>F-AI-006</x:v>
      </x:c>
      <x:c r="B35" s="41" t="str">
        <x:v>경력기술서 임베딩 생성</x:v>
      </x:c>
      <x:c r="C35" s="29" t="str">
        <x:v>사용자의 경력기술서를 다국어 Sentence Transformer로 임베딩한다.</x:v>
      </x:c>
      <x:c r="D35" s="41" t="str">
        <x:v>시스템</x:v>
      </x:c>
      <x:c r="E35" s="29" t="str">
        <x:v>유효한 분석 요청과 모델·데이터 준비</x:v>
      </x:c>
      <x:c r="F35" s="29" t="str">
        <x:v>사용자 입력 또는 시스템 이벤트 수신 → 유효성·권한 검증 → 기능 처리 → 결과 반환</x:v>
      </x:c>
      <x:c r="G35" s="29" t="str">
        <x:v>국가별 분석 결과</x:v>
      </x:c>
      <x:c r="H35" s="29" t="str">
        <x:v>요청 성공 후 데이터가 저장되고 재조회 시 동일한 내용이 반환된다.</x:v>
      </x:c>
      <x:c r="I35" s="41" t="str">
        <x:v>Must</x:v>
      </x:c>
      <x:c r="J35" s="41" t="str">
        <x:v>AI Server</x:v>
      </x:c>
      <x:c r="K35" s="41" t="str">
        <x:v>확정</x:v>
      </x:c>
      <x:c r="L35" s="77" t="str">
        <x:v>multilingual-e5-base</x:v>
      </x:c>
    </x:row>
    <x:row r="36" ht="54" customHeight="1">
      <x:c r="A36" s="102" t="str">
        <x:v>F-AI-007</x:v>
      </x:c>
      <x:c r="B36" s="41" t="str">
        <x:v>국가별 직업 유사도 계산</x:v>
      </x:c>
      <x:c r="C36" s="29" t="str">
        <x:v>사용자 경력 임베딩과 NOC·ANZSCO·SOC 직업 임베딩의 코사인 유사도를 계산한다.</x:v>
      </x:c>
      <x:c r="D36" s="41" t="str">
        <x:v>시스템</x:v>
      </x:c>
      <x:c r="E36" s="29" t="str">
        <x:v>유효한 분석 요청과 모델·데이터 준비</x:v>
      </x:c>
      <x:c r="F36" s="29" t="str">
        <x:v>사용자 입력 또는 시스템 이벤트 수신 → 유효성·권한 검증 → 기능 처리 → 결과 반환</x:v>
      </x:c>
      <x:c r="G36" s="29" t="str">
        <x:v>국가별 분석 결과</x:v>
      </x:c>
      <x:c r="H36" s="29" t="str">
        <x:v>결과 값이 정의된 범위에 있고 캐나다·호주·영국 3개국 결과가 생성된다.</x:v>
      </x:c>
      <x:c r="I36" s="41" t="str">
        <x:v>Must</x:v>
      </x:c>
      <x:c r="J36" s="41" t="str">
        <x:v>AI Server</x:v>
      </x:c>
      <x:c r="K36" s="41" t="str">
        <x:v>확정</x:v>
      </x:c>
      <x:c r="L36" s="77" t="str">
        <x:v>국가별 TOP 3 직업</x:v>
      </x:c>
    </x:row>
    <x:row r="37" ht="54" customHeight="1">
      <x:c r="A37" s="102" t="str">
        <x:v>F-AI-008</x:v>
      </x:c>
      <x:c r="B37" s="41" t="str">
        <x:v>사용자 선호 점수 산출</x:v>
      </x:c>
      <x:c r="C37" s="29" t="str">
        <x:v>선호 국가와 분석 국가의 일치 여부를 기준으로 선호 점수를 계산한다.</x:v>
      </x:c>
      <x:c r="D37" s="41" t="str">
        <x:v>시스템</x:v>
      </x:c>
      <x:c r="E37" s="29" t="str">
        <x:v>유효한 분석 요청과 모델·데이터 준비</x:v>
      </x:c>
      <x:c r="F37" s="29" t="str">
        <x:v>사용자 입력 또는 시스템 이벤트 수신 → 유효성·권한 검증 → 기능 처리 → 결과 반환</x:v>
      </x:c>
      <x:c r="G37" s="29" t="str">
        <x:v>국가별 분석 결과</x:v>
      </x:c>
      <x:c r="H37" s="29" t="str">
        <x:v>결과 값이 정의된 범위에 있고 캐나다·호주·영국 3개국 결과가 생성된다.</x:v>
      </x:c>
      <x:c r="I37" s="41" t="str">
        <x:v>Should</x:v>
      </x:c>
      <x:c r="J37" s="41" t="str">
        <x:v>AI Server</x:v>
      </x:c>
      <x:c r="K37" s="41" t="str">
        <x:v>확정</x:v>
      </x:c>
      <x:c r="L37" s="77" t="str"/>
    </x:row>
    <x:row r="38" ht="54" customHeight="1">
      <x:c r="A38" s="102" t="str">
        <x:v>F-AI-009</x:v>
      </x:c>
      <x:c r="B38" s="41" t="str">
        <x:v>종합 적합도 계산</x:v>
      </x:c>
      <x:c r="C38" s="29" t="str">
        <x:v>규칙, 국가 환경, 경력 유사도, 선호 점수를 가중 합산한다.</x:v>
      </x:c>
      <x:c r="D38" s="41" t="str">
        <x:v>시스템</x:v>
      </x:c>
      <x:c r="E38" s="29" t="str">
        <x:v>유효한 분석 요청과 모델·데이터 준비</x:v>
      </x:c>
      <x:c r="F38" s="29" t="str">
        <x:v>사용자 입력 또는 시스템 이벤트 수신 → 유효성·권한 검증 → 기능 처리 → 결과 반환</x:v>
      </x:c>
      <x:c r="G38" s="29" t="str">
        <x:v>국가별 분석 결과</x:v>
      </x:c>
      <x:c r="H38" s="29" t="str">
        <x:v>결과 값이 정의된 범위에 있고 캐나다·호주·영국 3개국 결과가 생성된다.</x:v>
      </x:c>
      <x:c r="I38" s="41" t="str">
        <x:v>Must</x:v>
      </x:c>
      <x:c r="J38" s="41" t="str">
        <x:v>AI Server</x:v>
      </x:c>
      <x:c r="K38" s="41" t="str">
        <x:v>확정</x:v>
      </x:c>
      <x:c r="L38" s="77" t="str">
        <x:v>45/25/20/10 가중치</x:v>
      </x:c>
    </x:row>
    <x:row r="39" ht="54" customHeight="1">
      <x:c r="A39" s="102" t="str">
        <x:v>F-AI-010</x:v>
      </x:c>
      <x:c r="B39" s="41" t="str">
        <x:v>국가 추천 순위 생성</x:v>
      </x:c>
      <x:c r="C39" s="29" t="str">
        <x:v>캐나다·호주·영국의 종합 점수를 내림차순으로 정렬하고 TOP 3를 생성한다.</x:v>
      </x:c>
      <x:c r="D39" s="41" t="str">
        <x:v>시스템</x:v>
      </x:c>
      <x:c r="E39" s="29" t="str">
        <x:v>유효한 분석 요청과 모델·데이터 준비</x:v>
      </x:c>
      <x:c r="F39" s="29" t="str">
        <x:v>사용자 입력 또는 시스템 이벤트 수신 → 유효성·권한 검증 → 기능 처리 → 결과 반환</x:v>
      </x:c>
      <x:c r="G39" s="29" t="str">
        <x:v>국가별 분석 결과</x:v>
      </x:c>
      <x:c r="H39" s="29" t="str">
        <x:v>요청 성공 후 데이터가 저장되고 재조회 시 동일한 내용이 반환된다.</x:v>
      </x:c>
      <x:c r="I39" s="41" t="str">
        <x:v>Must</x:v>
      </x:c>
      <x:c r="J39" s="41" t="str">
        <x:v>AI Server</x:v>
      </x:c>
      <x:c r="K39" s="41" t="str">
        <x:v>확정</x:v>
      </x:c>
      <x:c r="L39" s="77" t="str"/>
    </x:row>
    <x:row r="40" ht="54" customHeight="1">
      <x:c r="A40" s="102" t="str">
        <x:v>F-AI-011</x:v>
      </x:c>
      <x:c r="B40" s="41" t="str">
        <x:v>강점·보완점 생성</x:v>
      </x:c>
      <x:c r="C40" s="29" t="str">
        <x:v>규칙 판정과 세부 점수를 근거로 사용자 강점과 보완 항목을 생성한다.</x:v>
      </x:c>
      <x:c r="D40" s="41" t="str">
        <x:v>시스템</x:v>
      </x:c>
      <x:c r="E40" s="29" t="str">
        <x:v>유효한 분석 요청과 모델·데이터 준비</x:v>
      </x:c>
      <x:c r="F40" s="29" t="str">
        <x:v>사용자 입력 또는 시스템 이벤트 수신 → 유효성·권한 검증 → 기능 처리 → 결과 반환</x:v>
      </x:c>
      <x:c r="G40" s="29" t="str">
        <x:v>국가별 분석 결과</x:v>
      </x:c>
      <x:c r="H40" s="29" t="str">
        <x:v>요청 성공 후 데이터가 저장되고 재조회 시 동일한 내용이 반환된다.</x:v>
      </x:c>
      <x:c r="I40" s="41" t="str">
        <x:v>Must</x:v>
      </x:c>
      <x:c r="J40" s="41" t="str">
        <x:v>AI Server</x:v>
      </x:c>
      <x:c r="K40" s="41" t="str">
        <x:v>확정</x:v>
      </x:c>
      <x:c r="L40" s="77" t="str">
        <x:v>근거 없는 문장 생성 금지</x:v>
      </x:c>
    </x:row>
    <x:row r="41" ht="54" customHeight="1">
      <x:c r="A41" s="102" t="str">
        <x:v>F-RES-001</x:v>
      </x:c>
      <x:c r="B41" s="41" t="str">
        <x:v>분석 결과 저장</x:v>
      </x:c>
      <x:c r="C41" s="29" t="str">
        <x:v>국가별 점수, 순위, 추천 비자, 직업 매칭, 근거를 데이터베이스에 저장한다.</x:v>
      </x:c>
      <x:c r="D41" s="41" t="str">
        <x:v>시스템</x:v>
      </x:c>
      <x:c r="E41" s="29" t="str">
        <x:v>분석 상태 COMPLETED</x:v>
      </x:c>
      <x:c r="F41" s="29" t="str">
        <x:v>사용자 입력 또는 시스템 이벤트 수신 → 유효성·권한 검증 → 기능 처리 → 결과 반환</x:v>
      </x:c>
      <x:c r="G41" s="29" t="str">
        <x:v>결과 화면 데이터</x:v>
      </x:c>
      <x:c r="H41" s="29" t="str">
        <x:v>요청 성공 후 데이터가 저장되고 재조회 시 동일한 내용이 반환된다.</x:v>
      </x:c>
      <x:c r="I41" s="41" t="str">
        <x:v>Must</x:v>
      </x:c>
      <x:c r="J41" s="41" t="str">
        <x:v>Backend</x:v>
      </x:c>
      <x:c r="K41" s="41" t="str">
        <x:v>확정</x:v>
      </x:c>
      <x:c r="L41" s="77" t="str"/>
    </x:row>
    <x:row r="42" ht="54" customHeight="1">
      <x:c r="A42" s="102" t="str">
        <x:v>F-RES-002</x:v>
      </x:c>
      <x:c r="B42" s="41" t="str">
        <x:v>분석 결과 상세 조회</x:v>
      </x:c>
      <x:c r="C42" s="29" t="str">
        <x:v>로그인 사용자가 본인의 분석 결과를 조회한다.</x:v>
      </x:c>
      <x:c r="D42" s="41" t="str">
        <x:v>로그인 사용자</x:v>
      </x:c>
      <x:c r="E42" s="29" t="str">
        <x:v>분석 상태 COMPLETED</x:v>
      </x:c>
      <x:c r="F42" s="29" t="str">
        <x:v>사용자 입력 또는 시스템 이벤트 수신 → 유효성·권한 검증 → 기능 처리 → 결과 반환</x:v>
      </x:c>
      <x:c r="G42" s="29" t="str">
        <x:v>결과 화면 데이터</x:v>
      </x:c>
      <x:c r="H42" s="29" t="str">
        <x:v>사용자가 요청한 데이터가 누락 없이 표시되며 권한 없는 데이터는 노출되지 않는다.</x:v>
      </x:c>
      <x:c r="I42" s="41" t="str">
        <x:v>Must</x:v>
      </x:c>
      <x:c r="J42" s="41" t="str">
        <x:v>Backend</x:v>
      </x:c>
      <x:c r="K42" s="41" t="str">
        <x:v>확정</x:v>
      </x:c>
      <x:c r="L42" s="77" t="str">
        <x:v>소유권 검증</x:v>
      </x:c>
    </x:row>
    <x:row r="43" ht="54" customHeight="1">
      <x:c r="A43" s="102" t="str">
        <x:v>F-RES-003</x:v>
      </x:c>
      <x:c r="B43" s="41" t="str">
        <x:v>국가 추천 TOP 3 표시</x:v>
      </x:c>
      <x:c r="C43" s="29" t="str">
        <x:v>추천 국가 순위와 국가별 대표 비자, 종합 적합도를 표시한다.</x:v>
      </x:c>
      <x:c r="D43" s="41" t="str">
        <x:v>로그인 사용자</x:v>
      </x:c>
      <x:c r="E43" s="29" t="str">
        <x:v>분석 상태 COMPLETED</x:v>
      </x:c>
      <x:c r="F43" s="29" t="str">
        <x:v>사용자 입력 또는 시스템 이벤트 수신 → 유효성·권한 검증 → 기능 처리 → 결과 반환</x:v>
      </x:c>
      <x:c r="G43" s="29" t="str">
        <x:v>결과 화면 데이터</x:v>
      </x:c>
      <x:c r="H43" s="29" t="str">
        <x:v>사용자가 요청한 데이터가 누락 없이 표시되며 권한 없는 데이터는 노출되지 않는다.</x:v>
      </x:c>
      <x:c r="I43" s="41" t="str">
        <x:v>Must</x:v>
      </x:c>
      <x:c r="J43" s="41" t="str">
        <x:v>Frontend</x:v>
      </x:c>
      <x:c r="K43" s="41" t="str">
        <x:v>확정</x:v>
      </x:c>
      <x:c r="L43" s="77" t="str"/>
    </x:row>
    <x:row r="44" ht="54" customHeight="1">
      <x:c r="A44" s="102" t="str">
        <x:v>F-RES-004</x:v>
      </x:c>
      <x:c r="B44" s="41" t="str">
        <x:v>세부 점수 시각화</x:v>
      </x:c>
      <x:c r="C44" s="29" t="str">
        <x:v>비자 규칙, 국가 환경, 경력 유사도, 선호 점수를 시각화한다.</x:v>
      </x:c>
      <x:c r="D44" s="41" t="str">
        <x:v>로그인 사용자</x:v>
      </x:c>
      <x:c r="E44" s="29" t="str">
        <x:v>분석 상태 COMPLETED</x:v>
      </x:c>
      <x:c r="F44" s="29" t="str">
        <x:v>사용자 입력 또는 시스템 이벤트 수신 → 유효성·권한 검증 → 기능 처리 → 결과 반환</x:v>
      </x:c>
      <x:c r="G44" s="29" t="str">
        <x:v>결과 화면 데이터</x:v>
      </x:c>
      <x:c r="H44" s="29" t="str">
        <x:v>정의된 사용자 액션 수행 시 예상 화면 또는 결과가 정상적으로 제공된다.</x:v>
      </x:c>
      <x:c r="I44" s="41" t="str">
        <x:v>Should</x:v>
      </x:c>
      <x:c r="J44" s="41" t="str">
        <x:v>Frontend</x:v>
      </x:c>
      <x:c r="K44" s="41" t="str">
        <x:v>확정</x:v>
      </x:c>
      <x:c r="L44" s="77" t="str"/>
    </x:row>
    <x:row r="45" ht="54" customHeight="1">
      <x:c r="A45" s="102" t="str">
        <x:v>F-RES-005</x:v>
      </x:c>
      <x:c r="B45" s="41" t="str">
        <x:v>강점·보완점 표시</x:v>
      </x:c>
      <x:c r="C45" s="29" t="str">
        <x:v>추천 결과의 주요 강점과 추가 준비가 필요한 항목을 표시한다.</x:v>
      </x:c>
      <x:c r="D45" s="41" t="str">
        <x:v>로그인 사용자</x:v>
      </x:c>
      <x:c r="E45" s="29" t="str">
        <x:v>분석 상태 COMPLETED</x:v>
      </x:c>
      <x:c r="F45" s="29" t="str">
        <x:v>사용자 입력 또는 시스템 이벤트 수신 → 유효성·권한 검증 → 기능 처리 → 결과 반환</x:v>
      </x:c>
      <x:c r="G45" s="29" t="str">
        <x:v>결과 화면 데이터</x:v>
      </x:c>
      <x:c r="H45" s="29" t="str">
        <x:v>사용자가 요청한 데이터가 누락 없이 표시되며 권한 없는 데이터는 노출되지 않는다.</x:v>
      </x:c>
      <x:c r="I45" s="41" t="str">
        <x:v>Must</x:v>
      </x:c>
      <x:c r="J45" s="41" t="str">
        <x:v>Frontend</x:v>
      </x:c>
      <x:c r="K45" s="41" t="str">
        <x:v>확정</x:v>
      </x:c>
      <x:c r="L45" s="77" t="str"/>
    </x:row>
    <x:row r="46" ht="54" customHeight="1">
      <x:c r="A46" s="102" t="str">
        <x:v>F-RES-006</x:v>
      </x:c>
      <x:c r="B46" s="41" t="str">
        <x:v>준비 체크리스트 표시</x:v>
      </x:c>
      <x:c r="C46" s="29" t="str">
        <x:v>비자 준비에 필요한 시험, 서류, 자금 관련 체크리스트를 제공한다.</x:v>
      </x:c>
      <x:c r="D46" s="41" t="str">
        <x:v>로그인 사용자</x:v>
      </x:c>
      <x:c r="E46" s="29" t="str">
        <x:v>분석 상태 COMPLETED</x:v>
      </x:c>
      <x:c r="F46" s="29" t="str">
        <x:v>사용자 입력 또는 시스템 이벤트 수신 → 유효성·권한 검증 → 기능 처리 → 결과 반환</x:v>
      </x:c>
      <x:c r="G46" s="29" t="str">
        <x:v>결과 화면 데이터</x:v>
      </x:c>
      <x:c r="H46" s="29" t="str">
        <x:v>사용자가 요청한 데이터가 누락 없이 표시되며 권한 없는 데이터는 노출되지 않는다.</x:v>
      </x:c>
      <x:c r="I46" s="41" t="str">
        <x:v>Should</x:v>
      </x:c>
      <x:c r="J46" s="41" t="str">
        <x:v>Frontend</x:v>
      </x:c>
      <x:c r="K46" s="41" t="str">
        <x:v>검토</x:v>
      </x:c>
      <x:c r="L46" s="77" t="str">
        <x:v>서버 저장은 선택</x:v>
      </x:c>
    </x:row>
    <x:row r="47" ht="54" customHeight="1">
      <x:c r="A47" s="102" t="str">
        <x:v>F-RES-007</x:v>
      </x:c>
      <x:c r="B47" s="41" t="str">
        <x:v>결과 기반 AI 상담 이동</x:v>
      </x:c>
      <x:c r="C47" s="29" t="str">
        <x:v>선택 국가와 비자를 상담 컨텍스트로 전달하고 AI 상담 화면으로 이동한다.</x:v>
      </x:c>
      <x:c r="D47" s="41" t="str">
        <x:v>로그인 사용자</x:v>
      </x:c>
      <x:c r="E47" s="29" t="str">
        <x:v>분석 상태 COMPLETED</x:v>
      </x:c>
      <x:c r="F47" s="29" t="str">
        <x:v>사용자 입력 또는 시스템 이벤트 수신 → 유효성·권한 검증 → 기능 처리 → 결과 반환</x:v>
      </x:c>
      <x:c r="G47" s="29" t="str">
        <x:v>결과 화면 데이터</x:v>
      </x:c>
      <x:c r="H47" s="29" t="str">
        <x:v>정의된 사용자 액션 수행 시 예상 화면 또는 결과가 정상적으로 제공된다.</x:v>
      </x:c>
      <x:c r="I47" s="41" t="str">
        <x:v>Should</x:v>
      </x:c>
      <x:c r="J47" s="41" t="str">
        <x:v>Frontend</x:v>
      </x:c>
      <x:c r="K47" s="41" t="str">
        <x:v>확정</x:v>
      </x:c>
      <x:c r="L47" s="77" t="str"/>
    </x:row>
    <x:row r="48" ht="54" customHeight="1">
      <x:c r="A48" s="102" t="str">
        <x:v>F-RAG-001</x:v>
      </x:c>
      <x:c r="B48" s="41" t="str">
        <x:v>상담 세션 생성</x:v>
      </x:c>
      <x:c r="C48" s="29" t="str">
        <x:v>신규 질문 요청 시 상담 세션을 생성하고 사용자와 연결한다.</x:v>
      </x:c>
      <x:c r="D48" s="41" t="str">
        <x:v>로그인 사용자</x:v>
      </x:c>
      <x:c r="E48" s="29" t="str">
        <x:v>로그인 및 정책 문서 임베딩 완료</x:v>
      </x:c>
      <x:c r="F48" s="29" t="str">
        <x:v>사용자 입력 또는 시스템 이벤트 수신 → 유효성·권한 검증 → 기능 처리 → 결과 반환</x:v>
      </x:c>
      <x:c r="G48" s="29" t="str">
        <x:v>답변·출처·상담 이력</x:v>
      </x:c>
      <x:c r="H48" s="29" t="str">
        <x:v>요청 성공 후 데이터가 저장되고 재조회 시 동일한 내용이 반환된다.</x:v>
      </x:c>
      <x:c r="I48" s="41" t="str">
        <x:v>Must</x:v>
      </x:c>
      <x:c r="J48" s="41" t="str">
        <x:v>Backend</x:v>
      </x:c>
      <x:c r="K48" s="41" t="str">
        <x:v>확정</x:v>
      </x:c>
      <x:c r="L48" s="77" t="str"/>
    </x:row>
    <x:row r="49" ht="54" customHeight="1">
      <x:c r="A49" s="102" t="str">
        <x:v>F-RAG-002</x:v>
      </x:c>
      <x:c r="B49" s="41" t="str">
        <x:v>상담 질문 입력</x:v>
      </x:c>
      <x:c r="C49" s="29" t="str">
        <x:v>사용자가 국가와 비자를 선택하고 질문을 입력한다.</x:v>
      </x:c>
      <x:c r="D49" s="41" t="str">
        <x:v>로그인 사용자</x:v>
      </x:c>
      <x:c r="E49" s="29" t="str">
        <x:v>로그인 및 정책 문서 임베딩 완료</x:v>
      </x:c>
      <x:c r="F49" s="29" t="str">
        <x:v>사용자 입력 또는 시스템 이벤트 수신 → 유효성·권한 검증 → 기능 처리 → 결과 반환</x:v>
      </x:c>
      <x:c r="G49" s="29" t="str">
        <x:v>답변·출처·상담 이력</x:v>
      </x:c>
      <x:c r="H49" s="29" t="str">
        <x:v>답변에 공식 출처와 기준일이 포함되며 근거가 없으면 답변을 생성하지 않는다.</x:v>
      </x:c>
      <x:c r="I49" s="41" t="str">
        <x:v>Must</x:v>
      </x:c>
      <x:c r="J49" s="41" t="str">
        <x:v>Frontend</x:v>
      </x:c>
      <x:c r="K49" s="41" t="str">
        <x:v>확정</x:v>
      </x:c>
      <x:c r="L49" s="77" t="str"/>
    </x:row>
    <x:row r="50" ht="54" customHeight="1">
      <x:c r="A50" s="102" t="str">
        <x:v>F-RAG-003</x:v>
      </x:c>
      <x:c r="B50" s="41" t="str">
        <x:v>정책 문서 벡터 검색</x:v>
      </x:c>
      <x:c r="C50" s="29" t="str">
        <x:v>국가·비자 필터와 질문 임베딩을 사용해 관련 정책 청크를 검색한다.</x:v>
      </x:c>
      <x:c r="D50" s="41" t="str">
        <x:v>시스템</x:v>
      </x:c>
      <x:c r="E50" s="29" t="str">
        <x:v>로그인 및 정책 문서 임베딩 완료</x:v>
      </x:c>
      <x:c r="F50" s="29" t="str">
        <x:v>사용자 입력 또는 시스템 이벤트 수신 → 유효성·권한 검증 → 기능 처리 → 결과 반환</x:v>
      </x:c>
      <x:c r="G50" s="29" t="str">
        <x:v>답변·출처·상담 이력</x:v>
      </x:c>
      <x:c r="H50" s="29" t="str">
        <x:v>답변에 공식 출처와 기준일이 포함되며 근거가 없으면 답변을 생성하지 않는다.</x:v>
      </x:c>
      <x:c r="I50" s="41" t="str">
        <x:v>Must</x:v>
      </x:c>
      <x:c r="J50" s="41" t="str">
        <x:v>AI Server</x:v>
      </x:c>
      <x:c r="K50" s="41" t="str">
        <x:v>확정</x:v>
      </x:c>
      <x:c r="L50" s="77" t="str">
        <x:v>pgvector TOP 3~5</x:v>
      </x:c>
    </x:row>
    <x:row r="51" ht="54" customHeight="1">
      <x:c r="A51" s="102" t="str">
        <x:v>F-RAG-004</x:v>
      </x:c>
      <x:c r="B51" s="41" t="str">
        <x:v>공식 문서 기반 답변 생성</x:v>
      </x:c>
      <x:c r="C51" s="29" t="str">
        <x:v>검색된 정책 문서를 근거로 LLM 답변을 생성한다.</x:v>
      </x:c>
      <x:c r="D51" s="41" t="str">
        <x:v>시스템</x:v>
      </x:c>
      <x:c r="E51" s="29" t="str">
        <x:v>로그인 및 정책 문서 임베딩 완료</x:v>
      </x:c>
      <x:c r="F51" s="29" t="str">
        <x:v>사용자 입력 또는 시스템 이벤트 수신 → 유효성·권한 검증 → 기능 처리 → 결과 반환</x:v>
      </x:c>
      <x:c r="G51" s="29" t="str">
        <x:v>답변·출처·상담 이력</x:v>
      </x:c>
      <x:c r="H51" s="29" t="str">
        <x:v>요청 성공 후 데이터가 저장되고 재조회 시 동일한 내용이 반환된다.</x:v>
      </x:c>
      <x:c r="I51" s="41" t="str">
        <x:v>Must</x:v>
      </x:c>
      <x:c r="J51" s="41" t="str">
        <x:v>AI Server</x:v>
      </x:c>
      <x:c r="K51" s="41" t="str">
        <x:v>확정</x:v>
      </x:c>
      <x:c r="L51" s="77" t="str"/>
    </x:row>
    <x:row r="52" ht="54" customHeight="1">
      <x:c r="A52" s="102" t="str">
        <x:v>F-RAG-005</x:v>
      </x:c>
      <x:c r="B52" s="41" t="str">
        <x:v>출처와 기준일 반환</x:v>
      </x:c>
      <x:c r="C52" s="29" t="str">
        <x:v>답변에 사용한 공식 문서 제목, URL, 검증일을 함께 반환한다.</x:v>
      </x:c>
      <x:c r="D52" s="41" t="str">
        <x:v>로그인 사용자</x:v>
      </x:c>
      <x:c r="E52" s="29" t="str">
        <x:v>로그인 및 정책 문서 임베딩 완료</x:v>
      </x:c>
      <x:c r="F52" s="29" t="str">
        <x:v>사용자 입력 또는 시스템 이벤트 수신 → 유효성·권한 검증 → 기능 처리 → 결과 반환</x:v>
      </x:c>
      <x:c r="G52" s="29" t="str">
        <x:v>답변·출처·상담 이력</x:v>
      </x:c>
      <x:c r="H52" s="29" t="str">
        <x:v>답변에 공식 출처와 기준일이 포함되며 근거가 없으면 답변을 생성하지 않는다.</x:v>
      </x:c>
      <x:c r="I52" s="41" t="str">
        <x:v>Must</x:v>
      </x:c>
      <x:c r="J52" s="41" t="str">
        <x:v>AI Server/Backend</x:v>
      </x:c>
      <x:c r="K52" s="41" t="str">
        <x:v>확정</x:v>
      </x:c>
      <x:c r="L52" s="77" t="str"/>
    </x:row>
    <x:row r="53" ht="54" customHeight="1">
      <x:c r="A53" s="102" t="str">
        <x:v>F-RAG-006</x:v>
      </x:c>
      <x:c r="B53" s="41" t="str">
        <x:v>근거 부족 답변 차단</x:v>
      </x:c>
      <x:c r="C53" s="29" t="str">
        <x:v>공식 문서에서 충분한 근거를 찾지 못하면 답변 불가 상태를 반환한다.</x:v>
      </x:c>
      <x:c r="D53" s="41" t="str">
        <x:v>로그인 사용자</x:v>
      </x:c>
      <x:c r="E53" s="29" t="str">
        <x:v>로그인 및 정책 문서 임베딩 완료</x:v>
      </x:c>
      <x:c r="F53" s="29" t="str">
        <x:v>사용자 입력 또는 시스템 이벤트 수신 → 유효성·권한 검증 → 기능 처리 → 결과 반환</x:v>
      </x:c>
      <x:c r="G53" s="29" t="str">
        <x:v>답변·출처·상담 이력</x:v>
      </x:c>
      <x:c r="H53" s="29" t="str">
        <x:v>답변에 공식 출처와 기준일이 포함되며 근거가 없으면 답변을 생성하지 않는다.</x:v>
      </x:c>
      <x:c r="I53" s="41" t="str">
        <x:v>Must</x:v>
      </x:c>
      <x:c r="J53" s="41" t="str">
        <x:v>AI Server</x:v>
      </x:c>
      <x:c r="K53" s="41" t="str">
        <x:v>확정</x:v>
      </x:c>
      <x:c r="L53" s="77" t="str">
        <x:v>answerable=false</x:v>
      </x:c>
    </x:row>
    <x:row r="54" ht="54" customHeight="1">
      <x:c r="A54" s="102" t="str">
        <x:v>F-RAG-007</x:v>
      </x:c>
      <x:c r="B54" s="41" t="str">
        <x:v>상담 이력 저장</x:v>
      </x:c>
      <x:c r="C54" s="29" t="str">
        <x:v>사용자 질문, AI 답변, 출처와 생성 일시를 저장한다.</x:v>
      </x:c>
      <x:c r="D54" s="41" t="str">
        <x:v>시스템</x:v>
      </x:c>
      <x:c r="E54" s="29" t="str">
        <x:v>로그인 및 정책 문서 임베딩 완료</x:v>
      </x:c>
      <x:c r="F54" s="29" t="str">
        <x:v>사용자 입력 또는 시스템 이벤트 수신 → 유효성·권한 검증 → 기능 처리 → 결과 반환</x:v>
      </x:c>
      <x:c r="G54" s="29" t="str">
        <x:v>답변·출처·상담 이력</x:v>
      </x:c>
      <x:c r="H54" s="29" t="str">
        <x:v>요청 성공 후 데이터가 저장되고 재조회 시 동일한 내용이 반환된다.</x:v>
      </x:c>
      <x:c r="I54" s="41" t="str">
        <x:v>Should</x:v>
      </x:c>
      <x:c r="J54" s="41" t="str">
        <x:v>Backend</x:v>
      </x:c>
      <x:c r="K54" s="41" t="str">
        <x:v>확정</x:v>
      </x:c>
      <x:c r="L54" s="77" t="str"/>
    </x:row>
    <x:row r="55" ht="54" customHeight="1">
      <x:c r="A55" s="102" t="str">
        <x:v>F-RAG-008</x:v>
      </x:c>
      <x:c r="B55" s="41" t="str">
        <x:v>상담 이력 조회</x:v>
      </x:c>
      <x:c r="C55" s="29" t="str">
        <x:v>선택 상담 세션의 사용자 질문과 AI 답변을 시간순으로 조회한다.</x:v>
      </x:c>
      <x:c r="D55" s="41" t="str">
        <x:v>로그인 사용자</x:v>
      </x:c>
      <x:c r="E55" s="29" t="str">
        <x:v>로그인 및 정책 문서 임베딩 완료</x:v>
      </x:c>
      <x:c r="F55" s="29" t="str">
        <x:v>사용자 입력 또는 시스템 이벤트 수신 → 유효성·권한 검증 → 기능 처리 → 결과 반환</x:v>
      </x:c>
      <x:c r="G55" s="29" t="str">
        <x:v>답변·출처·상담 이력</x:v>
      </x:c>
      <x:c r="H55" s="29" t="str">
        <x:v>사용자가 요청한 데이터가 누락 없이 표시되며 권한 없는 데이터는 노출되지 않는다.</x:v>
      </x:c>
      <x:c r="I55" s="41" t="str">
        <x:v>Should</x:v>
      </x:c>
      <x:c r="J55" s="41" t="str">
        <x:v>Backend</x:v>
      </x:c>
      <x:c r="K55" s="41" t="str">
        <x:v>확정</x:v>
      </x:c>
      <x:c r="L55" s="77" t="str">
        <x:v>소유권 검증</x:v>
      </x:c>
    </x:row>
    <x:row r="56" ht="54" customHeight="1">
      <x:c r="A56" s="102" t="str">
        <x:v>F-MY-001</x:v>
      </x:c>
      <x:c r="B56" s="41" t="str">
        <x:v>내 분석 이력 목록 조회</x:v>
      </x:c>
      <x:c r="C56" s="29" t="str">
        <x:v>로그인 사용자의 과거 분석 결과를 페이지 단위로 조회한다.</x:v>
      </x:c>
      <x:c r="D56" s="41" t="str">
        <x:v>로그인 사용자</x:v>
      </x:c>
      <x:c r="E56" s="29" t="str">
        <x:v>로그인 및 본인 데이터 존재</x:v>
      </x:c>
      <x:c r="F56" s="29" t="str">
        <x:v>사용자 입력 또는 시스템 이벤트 수신 → 유효성·권한 검증 → 기능 처리 → 결과 반환</x:v>
      </x:c>
      <x:c r="G56" s="29" t="str">
        <x:v>분석 이력 또는 화면 이동</x:v>
      </x:c>
      <x:c r="H56" s="29" t="str">
        <x:v>사용자가 요청한 데이터가 누락 없이 표시되며 권한 없는 데이터는 노출되지 않는다.</x:v>
      </x:c>
      <x:c r="I56" s="41" t="str">
        <x:v>Must</x:v>
      </x:c>
      <x:c r="J56" s="41" t="str">
        <x:v>Backend</x:v>
      </x:c>
      <x:c r="K56" s="41" t="str">
        <x:v>확정</x:v>
      </x:c>
      <x:c r="L56" s="77" t="str"/>
    </x:row>
    <x:row r="57" ht="54" customHeight="1">
      <x:c r="A57" s="102" t="str">
        <x:v>F-MY-002</x:v>
      </x:c>
      <x:c r="B57" s="41" t="str">
        <x:v>분석 이력 정렬</x:v>
      </x:c>
      <x:c r="C57" s="29" t="str">
        <x:v>분석 이력을 최신순 또는 점수순으로 정렬한다.</x:v>
      </x:c>
      <x:c r="D57" s="41" t="str">
        <x:v>로그인 사용자</x:v>
      </x:c>
      <x:c r="E57" s="29" t="str">
        <x:v>로그인 및 본인 데이터 존재</x:v>
      </x:c>
      <x:c r="F57" s="29" t="str">
        <x:v>사용자 입력 또는 시스템 이벤트 수신 → 유효성·권한 검증 → 기능 처리 → 결과 반환</x:v>
      </x:c>
      <x:c r="G57" s="29" t="str">
        <x:v>분석 이력 또는 화면 이동</x:v>
      </x:c>
      <x:c r="H57" s="29" t="str">
        <x:v>결과 값이 정의된 범위에 있고 캐나다·호주·영국 3개국 결과가 생성된다.</x:v>
      </x:c>
      <x:c r="I57" s="41" t="str">
        <x:v>Could</x:v>
      </x:c>
      <x:c r="J57" s="41" t="str">
        <x:v>Frontend/Backend</x:v>
      </x:c>
      <x:c r="K57" s="41" t="str">
        <x:v>검토</x:v>
      </x:c>
      <x:c r="L57" s="77" t="str"/>
    </x:row>
    <x:row r="58" ht="54" customHeight="1">
      <x:c r="A58" s="102" t="str">
        <x:v>F-MY-003</x:v>
      </x:c>
      <x:c r="B58" s="41" t="str">
        <x:v>과거 결과 다시 열기</x:v>
      </x:c>
      <x:c r="C58" s="29" t="str">
        <x:v>분석 이력에서 결과를 선택하여 상세 결과 화면으로 이동한다.</x:v>
      </x:c>
      <x:c r="D58" s="41" t="str">
        <x:v>로그인 사용자</x:v>
      </x:c>
      <x:c r="E58" s="29" t="str">
        <x:v>로그인 및 본인 데이터 존재</x:v>
      </x:c>
      <x:c r="F58" s="29" t="str">
        <x:v>사용자 입력 또는 시스템 이벤트 수신 → 유효성·권한 검증 → 기능 처리 → 결과 반환</x:v>
      </x:c>
      <x:c r="G58" s="29" t="str">
        <x:v>분석 이력 또는 화면 이동</x:v>
      </x:c>
      <x:c r="H58" s="29" t="str">
        <x:v>정의된 사용자 액션 수행 시 예상 화면 또는 결과가 정상적으로 제공된다.</x:v>
      </x:c>
      <x:c r="I58" s="41" t="str">
        <x:v>Must</x:v>
      </x:c>
      <x:c r="J58" s="41" t="str">
        <x:v>Frontend</x:v>
      </x:c>
      <x:c r="K58" s="41" t="str">
        <x:v>확정</x:v>
      </x:c>
      <x:c r="L58" s="77" t="str"/>
    </x:row>
    <x:row r="59" ht="54" customHeight="1">
      <x:c r="A59" s="102" t="str">
        <x:v>F-MY-004</x:v>
      </x:c>
      <x:c r="B59" s="41" t="str">
        <x:v>프로필 수정 이동</x:v>
      </x:c>
      <x:c r="C59" s="29" t="str">
        <x:v>마이페이지에서 기존 프로필 수정 화면으로 이동한다.</x:v>
      </x:c>
      <x:c r="D59" s="41" t="str">
        <x:v>로그인 사용자</x:v>
      </x:c>
      <x:c r="E59" s="29" t="str">
        <x:v>로그인 및 본인 데이터 존재</x:v>
      </x:c>
      <x:c r="F59" s="29" t="str">
        <x:v>사용자 입력 또는 시스템 이벤트 수신 → 유효성·권한 검증 → 기능 처리 → 결과 반환</x:v>
      </x:c>
      <x:c r="G59" s="29" t="str">
        <x:v>분석 이력 또는 화면 이동</x:v>
      </x:c>
      <x:c r="H59" s="29" t="str">
        <x:v>정의된 사용자 액션 수행 시 예상 화면 또는 결과가 정상적으로 제공된다.</x:v>
      </x:c>
      <x:c r="I59" s="41" t="str">
        <x:v>Should</x:v>
      </x:c>
      <x:c r="J59" s="41" t="str">
        <x:v>Frontend</x:v>
      </x:c>
      <x:c r="K59" s="41" t="str">
        <x:v>검토</x:v>
      </x:c>
      <x:c r="L59" s="77" t="str"/>
    </x:row>
    <x:row r="60" ht="54" customHeight="1">
      <x:c r="A60" s="102" t="str">
        <x:v>F-SYS-001</x:v>
      </x:c>
      <x:c r="B60" s="41" t="str">
        <x:v>Backend 상태 확인</x:v>
      </x:c>
      <x:c r="C60" s="29" t="str">
        <x:v>Spring Boot와 데이터베이스 연결 상태를 확인한다.</x:v>
      </x:c>
      <x:c r="D60" s="41" t="str">
        <x:v>운영자</x:v>
      </x:c>
      <x:c r="E60" s="29" t="str">
        <x:v>서비스 실행 환경 구성</x:v>
      </x:c>
      <x:c r="F60" s="29" t="str">
        <x:v>사용자 입력 또는 시스템 이벤트 수신 → 유효성·권한 검증 → 기능 처리 → 결과 반환</x:v>
      </x:c>
      <x:c r="G60" s="29" t="str">
        <x:v>상태 정보 또는 실행 환경</x:v>
      </x:c>
      <x:c r="H60" s="29" t="str">
        <x:v>정의된 사용자 액션 수행 시 예상 화면 또는 결과가 정상적으로 제공된다.</x:v>
      </x:c>
      <x:c r="I60" s="41" t="str">
        <x:v>Should</x:v>
      </x:c>
      <x:c r="J60" s="41" t="str">
        <x:v>Backend</x:v>
      </x:c>
      <x:c r="K60" s="41" t="str">
        <x:v>확정</x:v>
      </x:c>
      <x:c r="L60" s="77" t="str"/>
    </x:row>
    <x:row r="61" ht="54" customHeight="1">
      <x:c r="A61" s="102" t="str">
        <x:v>F-SYS-002</x:v>
      </x:c>
      <x:c r="B61" s="41" t="str">
        <x:v>AI Server 상태 확인</x:v>
      </x:c>
      <x:c r="C61" s="29" t="str">
        <x:v>FastAPI, 모델 파일, pgvector 연결 상태를 확인한다.</x:v>
      </x:c>
      <x:c r="D61" s="41" t="str">
        <x:v>운영자</x:v>
      </x:c>
      <x:c r="E61" s="29" t="str">
        <x:v>서비스 실행 환경 구성</x:v>
      </x:c>
      <x:c r="F61" s="29" t="str">
        <x:v>사용자 입력 또는 시스템 이벤트 수신 → 유효성·권한 검증 → 기능 처리 → 결과 반환</x:v>
      </x:c>
      <x:c r="G61" s="29" t="str">
        <x:v>상태 정보 또는 실행 환경</x:v>
      </x:c>
      <x:c r="H61" s="29" t="str">
        <x:v>정의된 사용자 액션 수행 시 예상 화면 또는 결과가 정상적으로 제공된다.</x:v>
      </x:c>
      <x:c r="I61" s="41" t="str">
        <x:v>Should</x:v>
      </x:c>
      <x:c r="J61" s="41" t="str">
        <x:v>AI Server</x:v>
      </x:c>
      <x:c r="K61" s="41" t="str">
        <x:v>확정</x:v>
      </x:c>
      <x:c r="L61" s="77" t="str"/>
    </x:row>
    <x:row r="62" ht="54" customHeight="1">
      <x:c r="A62" s="102" t="str">
        <x:v>F-SYS-003</x:v>
      </x:c>
      <x:c r="B62" s="41" t="str">
        <x:v>사용자 데이터 소유권 검증</x:v>
      </x:c>
      <x:c r="C62" s="29" t="str">
        <x:v>분석 결과와 상담 이력 조회 시 로그인 사용자의 소유권을 검증한다.</x:v>
      </x:c>
      <x:c r="D62" s="41" t="str">
        <x:v>시스템</x:v>
      </x:c>
      <x:c r="E62" s="29" t="str">
        <x:v>서비스 실행 환경 구성</x:v>
      </x:c>
      <x:c r="F62" s="29" t="str">
        <x:v>사용자 입력 또는 시스템 이벤트 수신 → 유효성·권한 검증 → 기능 처리 → 결과 반환</x:v>
      </x:c>
      <x:c r="G62" s="29" t="str">
        <x:v>상태 정보 또는 실행 환경</x:v>
      </x:c>
      <x:c r="H62" s="29" t="str">
        <x:v>유효하지 않은 값은 제출되지 않고 항목별 오류 문구가 표시된다.</x:v>
      </x:c>
      <x:c r="I62" s="41" t="str">
        <x:v>Must</x:v>
      </x:c>
      <x:c r="J62" s="41" t="str">
        <x:v>Backend</x:v>
      </x:c>
      <x:c r="K62" s="41" t="str">
        <x:v>확정</x:v>
      </x:c>
      <x:c r="L62" s="77" t="str"/>
    </x:row>
    <x:row r="63" ht="54" customHeight="1">
      <x:c r="A63" s="102" t="str">
        <x:v>F-SYS-004</x:v>
      </x:c>
      <x:c r="B63" s="41" t="str">
        <x:v>비밀정보 환경변수 관리</x:v>
      </x:c>
      <x:c r="C63" s="29" t="str">
        <x:v>DB 비밀번호, JWT Secret, LLM API Key를 환경변수로 관리한다.</x:v>
      </x:c>
      <x:c r="D63" s="41" t="str">
        <x:v>개발자/운영자</x:v>
      </x:c>
      <x:c r="E63" s="29" t="str">
        <x:v>서비스 실행 환경 구성</x:v>
      </x:c>
      <x:c r="F63" s="29" t="str">
        <x:v>사용자 입력 또는 시스템 이벤트 수신 → 유효성·권한 검증 → 기능 처리 → 결과 반환</x:v>
      </x:c>
      <x:c r="G63" s="29" t="str">
        <x:v>상태 정보 또는 실행 환경</x:v>
      </x:c>
      <x:c r="H63" s="29" t="str">
        <x:v>정의된 사용자 액션 수행 시 예상 화면 또는 결과가 정상적으로 제공된다.</x:v>
      </x:c>
      <x:c r="I63" s="41" t="str">
        <x:v>Must</x:v>
      </x:c>
      <x:c r="J63" s="41" t="str">
        <x:v>Deployment</x:v>
      </x:c>
      <x:c r="K63" s="41" t="str">
        <x:v>확정</x:v>
      </x:c>
      <x:c r="L63" s="77" t="str"/>
    </x:row>
    <x:row r="64" ht="54" customHeight="1">
      <x:c r="A64" s="103" t="str">
        <x:v>F-SYS-005</x:v>
      </x:c>
      <x:c r="B64" s="104" t="str">
        <x:v>Docker 기반 서비스 실행</x:v>
      </x:c>
      <x:c r="C64" s="79" t="str">
        <x:v>Frontend, Backend, AI Server, PostgreSQL을 컨테이너로 실행한다.</x:v>
      </x:c>
      <x:c r="D64" s="104" t="str">
        <x:v>개발자/운영자</x:v>
      </x:c>
      <x:c r="E64" s="79" t="str">
        <x:v>서비스 실행 환경 구성</x:v>
      </x:c>
      <x:c r="F64" s="79" t="str">
        <x:v>사용자 입력 또는 시스템 이벤트 수신 → 유효성·권한 검증 → 기능 처리 → 결과 반환</x:v>
      </x:c>
      <x:c r="G64" s="79" t="str">
        <x:v>상태 정보 또는 실행 환경</x:v>
      </x:c>
      <x:c r="H64" s="79" t="str">
        <x:v>정의된 사용자 액션 수행 시 예상 화면 또는 결과가 정상적으로 제공된다.</x:v>
      </x:c>
      <x:c r="I64" s="104" t="str">
        <x:v>Must</x:v>
      </x:c>
      <x:c r="J64" s="104" t="str">
        <x:v>Deployment</x:v>
      </x:c>
      <x:c r="K64" s="104" t="str">
        <x:v>확정</x:v>
      </x:c>
      <x:c r="L64" s="80" t="str">
        <x:v>Docker 27.5.1</x:v>
      </x:c>
    </x:row>
  </x:sheetData>
  <x:pageMargins left="0.7" right="0.7" top="0.75" bottom="0.75" header="0.3" footer="0.3"/>
  <x:tableParts count="1">
    <x:tablePart xmlns:r="http://schemas.openxmlformats.org/officeDocument/2006/relationships" r:id="R5481ac46ab444ba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38" hidden="0" customWidth="1"/>
    <x:col min="5" max="5" width="24" hidden="0" customWidth="1"/>
    <x:col min="6" max="6" width="12" hidden="0" customWidth="1"/>
    <x:col min="7" max="7" width="13" hidden="0" customWidth="1"/>
  </x:cols>
  <x:sheetData>
    <x:row r="1" ht="40" customHeight="1">
      <x:c r="A1" s="99" t="str">
        <x:v>기능 ID</x:v>
      </x:c>
      <x:c r="B1" s="100" t="str">
        <x:v>기능명</x:v>
      </x:c>
      <x:c r="C1" s="100" t="str">
        <x:v>연관 화면</x:v>
      </x:c>
      <x:c r="D1" s="100" t="str">
        <x:v>연동 API</x:v>
      </x:c>
      <x:c r="E1" s="100" t="str">
        <x:v>담당 영역</x:v>
      </x:c>
      <x:c r="F1" s="100" t="str">
        <x:v>우선순위</x:v>
      </x:c>
      <x:c r="G1" s="101" t="str">
        <x:v>상태</x:v>
      </x:c>
    </x:row>
    <x:row r="2" ht="40" customHeight="1">
      <x:c r="A2" s="102" t="str">
        <x:v>F-COM-001</x:v>
      </x:c>
      <x:c r="B2" s="41" t="str">
        <x:v>공통 헤더 표시</x:v>
      </x:c>
      <x:c r="C2" s="41" t="str">
        <x:v>HOME-001 외 전체</x:v>
      </x:c>
      <x:c r="D2" s="41" t="str">
        <x:v>-</x:v>
      </x:c>
      <x:c r="E2" s="41" t="str">
        <x:v>Frontend</x:v>
      </x:c>
      <x:c r="F2" s="41" t="str">
        <x:v>Must</x:v>
      </x:c>
      <x:c r="G2" s="111" t="str">
        <x:v>확정</x:v>
      </x:c>
    </x:row>
    <x:row r="3" ht="40" customHeight="1">
      <x:c r="A3" s="102" t="str">
        <x:v>F-COM-002</x:v>
      </x:c>
      <x:c r="B3" s="41" t="str">
        <x:v>보호 화면 접근 제어</x:v>
      </x:c>
      <x:c r="C3" s="41" t="str">
        <x:v>ANA-001~003, RES-001, CHAT-001, MY-001</x:v>
      </x:c>
      <x:c r="D3" s="41" t="str">
        <x:v>-</x:v>
      </x:c>
      <x:c r="E3" s="41" t="str">
        <x:v>Frontend/Backend</x:v>
      </x:c>
      <x:c r="F3" s="41" t="str">
        <x:v>Must</x:v>
      </x:c>
      <x:c r="G3" s="111" t="str">
        <x:v>확정</x:v>
      </x:c>
    </x:row>
    <x:row r="4" ht="40" customHeight="1">
      <x:c r="A4" s="102" t="str">
        <x:v>F-COM-003</x:v>
      </x:c>
      <x:c r="B4" s="41" t="str">
        <x:v>공통 오류 메시지 처리</x:v>
      </x:c>
      <x:c r="C4" s="41" t="str">
        <x:v>전체 화면</x:v>
      </x:c>
      <x:c r="D4" s="41" t="str">
        <x:v>전체 API</x:v>
      </x:c>
      <x:c r="E4" s="41" t="str">
        <x:v>Frontend</x:v>
      </x:c>
      <x:c r="F4" s="41" t="str">
        <x:v>Must</x:v>
      </x:c>
      <x:c r="G4" s="111" t="str">
        <x:v>확정</x:v>
      </x:c>
    </x:row>
    <x:row r="5" ht="40" customHeight="1">
      <x:c r="A5" s="102" t="str">
        <x:v>F-COM-004</x:v>
      </x:c>
      <x:c r="B5" s="41" t="str">
        <x:v>공통 로딩 상태 표시</x:v>
      </x:c>
      <x:c r="C5" s="41" t="str">
        <x:v>전체 화면</x:v>
      </x:c>
      <x:c r="D5" s="41" t="str">
        <x:v>전체 API</x:v>
      </x:c>
      <x:c r="E5" s="41" t="str">
        <x:v>Frontend</x:v>
      </x:c>
      <x:c r="F5" s="41" t="str">
        <x:v>Should</x:v>
      </x:c>
      <x:c r="G5" s="111" t="str">
        <x:v>확정</x:v>
      </x:c>
    </x:row>
    <x:row r="6" ht="40" customHeight="1">
      <x:c r="A6" s="102" t="str">
        <x:v>F-COM-005</x:v>
      </x:c>
      <x:c r="B6" s="41" t="str">
        <x:v>AI 분석·상담 면책 문구 표시</x:v>
      </x:c>
      <x:c r="C6" s="41" t="str">
        <x:v>HOME-001, RES-001, CHAT-001</x:v>
      </x:c>
      <x:c r="D6" s="41" t="str">
        <x:v>-</x:v>
      </x:c>
      <x:c r="E6" s="41" t="str">
        <x:v>Frontend</x:v>
      </x:c>
      <x:c r="F6" s="41" t="str">
        <x:v>Must</x:v>
      </x:c>
      <x:c r="G6" s="111" t="str">
        <x:v>확정</x:v>
      </x:c>
    </x:row>
    <x:row r="7" ht="40" customHeight="1">
      <x:c r="A7" s="102" t="str">
        <x:v>F-HOME-001</x:v>
      </x:c>
      <x:c r="B7" s="41" t="str">
        <x:v>프로젝트 소개 표시</x:v>
      </x:c>
      <x:c r="C7" s="41" t="str">
        <x:v>HOME-001</x:v>
      </x:c>
      <x:c r="D7" s="41" t="str">
        <x:v>-</x:v>
      </x:c>
      <x:c r="E7" s="41" t="str">
        <x:v>Frontend</x:v>
      </x:c>
      <x:c r="F7" s="41" t="str">
        <x:v>Must</x:v>
      </x:c>
      <x:c r="G7" s="111" t="str">
        <x:v>확정</x:v>
      </x:c>
    </x:row>
    <x:row r="8" ht="40" customHeight="1">
      <x:c r="A8" s="102" t="str">
        <x:v>F-HOME-002</x:v>
      </x:c>
      <x:c r="B8" s="41" t="str">
        <x:v>지원 국가·비자 안내</x:v>
      </x:c>
      <x:c r="C8" s="41" t="str">
        <x:v>HOME-001</x:v>
      </x:c>
      <x:c r="D8" s="41" t="str">
        <x:v>-</x:v>
      </x:c>
      <x:c r="E8" s="41" t="str">
        <x:v>Frontend</x:v>
      </x:c>
      <x:c r="F8" s="41" t="str">
        <x:v>Must</x:v>
      </x:c>
      <x:c r="G8" s="111" t="str">
        <x:v>확정</x:v>
      </x:c>
    </x:row>
    <x:row r="9" ht="40" customHeight="1">
      <x:c r="A9" s="102" t="str">
        <x:v>F-HOME-003</x:v>
      </x:c>
      <x:c r="B9" s="41" t="str">
        <x:v>AI 분석 시작</x:v>
      </x:c>
      <x:c r="C9" s="41" t="str">
        <x:v>HOME-001</x:v>
      </x:c>
      <x:c r="D9" s="41" t="str">
        <x:v>-</x:v>
      </x:c>
      <x:c r="E9" s="41" t="str">
        <x:v>Frontend</x:v>
      </x:c>
      <x:c r="F9" s="41" t="str">
        <x:v>Must</x:v>
      </x:c>
      <x:c r="G9" s="111" t="str">
        <x:v>확정</x:v>
      </x:c>
    </x:row>
    <x:row r="10" ht="40" customHeight="1">
      <x:c r="A10" s="102" t="str">
        <x:v>F-HOME-004</x:v>
      </x:c>
      <x:c r="B10" s="41" t="str">
        <x:v>AI 상담 이동</x:v>
      </x:c>
      <x:c r="C10" s="41" t="str">
        <x:v>HOME-001</x:v>
      </x:c>
      <x:c r="D10" s="41" t="str">
        <x:v>-</x:v>
      </x:c>
      <x:c r="E10" s="41" t="str">
        <x:v>Frontend</x:v>
      </x:c>
      <x:c r="F10" s="41" t="str">
        <x:v>Could</x:v>
      </x:c>
      <x:c r="G10" s="111" t="str">
        <x:v>검토</x:v>
      </x:c>
    </x:row>
    <x:row r="11" ht="40" customHeight="1">
      <x:c r="A11" s="102" t="str">
        <x:v>F-AUTH-001</x:v>
      </x:c>
      <x:c r="B11" s="41" t="str">
        <x:v>회원가입 탭 전환</x:v>
      </x:c>
      <x:c r="C11" s="41" t="str">
        <x:v>AUTH-001</x:v>
      </x:c>
      <x:c r="D11" s="41" t="str">
        <x:v>-</x:v>
      </x:c>
      <x:c r="E11" s="41" t="str">
        <x:v>Frontend</x:v>
      </x:c>
      <x:c r="F11" s="41" t="str">
        <x:v>Must</x:v>
      </x:c>
      <x:c r="G11" s="111" t="str">
        <x:v>확정</x:v>
      </x:c>
    </x:row>
    <x:row r="12" ht="40" customHeight="1">
      <x:c r="A12" s="102" t="str">
        <x:v>F-AUTH-002</x:v>
      </x:c>
      <x:c r="B12" s="41" t="str">
        <x:v>회원가입 입력 검증</x:v>
      </x:c>
      <x:c r="C12" s="41" t="str">
        <x:v>AUTH-001</x:v>
      </x:c>
      <x:c r="D12" s="41" t="str">
        <x:v>-</x:v>
      </x:c>
      <x:c r="E12" s="41" t="str">
        <x:v>Frontend</x:v>
      </x:c>
      <x:c r="F12" s="41" t="str">
        <x:v>Must</x:v>
      </x:c>
      <x:c r="G12" s="111" t="str">
        <x:v>확정</x:v>
      </x:c>
    </x:row>
    <x:row r="13" ht="40" customHeight="1">
      <x:c r="A13" s="102" t="str">
        <x:v>F-AUTH-003</x:v>
      </x:c>
      <x:c r="B13" s="41" t="str">
        <x:v>신규 사용자 등록</x:v>
      </x:c>
      <x:c r="C13" s="41" t="str">
        <x:v>AUTH-001</x:v>
      </x:c>
      <x:c r="D13" s="41" t="str">
        <x:v>POST /api/auth/signup</x:v>
      </x:c>
      <x:c r="E13" s="41" t="str">
        <x:v>Backend</x:v>
      </x:c>
      <x:c r="F13" s="41" t="str">
        <x:v>Must</x:v>
      </x:c>
      <x:c r="G13" s="111" t="str">
        <x:v>확정</x:v>
      </x:c>
    </x:row>
    <x:row r="14" ht="40" customHeight="1">
      <x:c r="A14" s="102" t="str">
        <x:v>F-AUTH-004</x:v>
      </x:c>
      <x:c r="B14" s="41" t="str">
        <x:v>로그인 입력 검증</x:v>
      </x:c>
      <x:c r="C14" s="41" t="str">
        <x:v>AUTH-001</x:v>
      </x:c>
      <x:c r="D14" s="41" t="str">
        <x:v>-</x:v>
      </x:c>
      <x:c r="E14" s="41" t="str">
        <x:v>Frontend</x:v>
      </x:c>
      <x:c r="F14" s="41" t="str">
        <x:v>Must</x:v>
      </x:c>
      <x:c r="G14" s="111" t="str">
        <x:v>확정</x:v>
      </x:c>
    </x:row>
    <x:row r="15" ht="40" customHeight="1">
      <x:c r="A15" s="102" t="str">
        <x:v>F-AUTH-005</x:v>
      </x:c>
      <x:c r="B15" s="41" t="str">
        <x:v>사용자 로그인</x:v>
      </x:c>
      <x:c r="C15" s="41" t="str">
        <x:v>AUTH-001</x:v>
      </x:c>
      <x:c r="D15" s="41" t="str">
        <x:v>POST /api/auth/login</x:v>
      </x:c>
      <x:c r="E15" s="41" t="str">
        <x:v>Backend</x:v>
      </x:c>
      <x:c r="F15" s="41" t="str">
        <x:v>Must</x:v>
      </x:c>
      <x:c r="G15" s="111" t="str">
        <x:v>확정</x:v>
      </x:c>
    </x:row>
    <x:row r="16" ht="40" customHeight="1">
      <x:c r="A16" s="102" t="str">
        <x:v>F-AUTH-006</x:v>
      </x:c>
      <x:c r="B16" s="41" t="str">
        <x:v>JWT 저장 및 인증 헤더 적용</x:v>
      </x:c>
      <x:c r="C16" s="41" t="str">
        <x:v>전체 보호 화면</x:v>
      </x:c>
      <x:c r="D16" s="41" t="str">
        <x:v>전체 보호 API</x:v>
      </x:c>
      <x:c r="E16" s="41" t="str">
        <x:v>Frontend</x:v>
      </x:c>
      <x:c r="F16" s="41" t="str">
        <x:v>Must</x:v>
      </x:c>
      <x:c r="G16" s="111" t="str">
        <x:v>확정</x:v>
      </x:c>
    </x:row>
    <x:row r="17" ht="40" customHeight="1">
      <x:c r="A17" s="102" t="str">
        <x:v>F-AUTH-007</x:v>
      </x:c>
      <x:c r="B17" s="41" t="str">
        <x:v>로그아웃</x:v>
      </x:c>
      <x:c r="C17" s="41" t="str">
        <x:v>공통 헤더</x:v>
      </x:c>
      <x:c r="D17" s="41" t="str">
        <x:v>-</x:v>
      </x:c>
      <x:c r="E17" s="41" t="str">
        <x:v>Frontend</x:v>
      </x:c>
      <x:c r="F17" s="41" t="str">
        <x:v>Must</x:v>
      </x:c>
      <x:c r="G17" s="111" t="str">
        <x:v>확정</x:v>
      </x:c>
    </x:row>
    <x:row r="18" ht="40" customHeight="1">
      <x:c r="A18" s="102" t="str">
        <x:v>F-PROF-001</x:v>
      </x:c>
      <x:c r="B18" s="41" t="str">
        <x:v>내 프로필 조회</x:v>
      </x:c>
      <x:c r="C18" s="41" t="str">
        <x:v>ANA-001, MY-001</x:v>
      </x:c>
      <x:c r="D18" s="41" t="str">
        <x:v>GET /api/users/me/profile</x:v>
      </x:c>
      <x:c r="E18" s="41" t="str">
        <x:v>Backend</x:v>
      </x:c>
      <x:c r="F18" s="41" t="str">
        <x:v>Should</x:v>
      </x:c>
      <x:c r="G18" s="111" t="str">
        <x:v>확정</x:v>
      </x:c>
    </x:row>
    <x:row r="19" ht="40" customHeight="1">
      <x:c r="A19" s="102" t="str">
        <x:v>F-PROF-002</x:v>
      </x:c>
      <x:c r="B19" s="41" t="str">
        <x:v>기본 정보 입력</x:v>
      </x:c>
      <x:c r="C19" s="41" t="str">
        <x:v>ANA-001</x:v>
      </x:c>
      <x:c r="D19" s="41" t="str">
        <x:v>-</x:v>
      </x:c>
      <x:c r="E19" s="41" t="str">
        <x:v>Frontend</x:v>
      </x:c>
      <x:c r="F19" s="41" t="str">
        <x:v>Must</x:v>
      </x:c>
      <x:c r="G19" s="111" t="str">
        <x:v>확정</x:v>
      </x:c>
    </x:row>
    <x:row r="20" ht="40" customHeight="1">
      <x:c r="A20" s="102" t="str">
        <x:v>F-PROF-003</x:v>
      </x:c>
      <x:c r="B20" s="41" t="str">
        <x:v>경력 정보 입력</x:v>
      </x:c>
      <x:c r="C20" s="41" t="str">
        <x:v>ANA-001</x:v>
      </x:c>
      <x:c r="D20" s="41" t="str">
        <x:v>-</x:v>
      </x:c>
      <x:c r="E20" s="41" t="str">
        <x:v>Frontend</x:v>
      </x:c>
      <x:c r="F20" s="41" t="str">
        <x:v>Must</x:v>
      </x:c>
      <x:c r="G20" s="111" t="str">
        <x:v>확정</x:v>
      </x:c>
    </x:row>
    <x:row r="21" ht="40" customHeight="1">
      <x:c r="A21" s="102" t="str">
        <x:v>F-PROF-004</x:v>
      </x:c>
      <x:c r="B21" s="41" t="str">
        <x:v>프로필 입력값 검증</x:v>
      </x:c>
      <x:c r="C21" s="41" t="str">
        <x:v>ANA-001</x:v>
      </x:c>
      <x:c r="D21" s="41" t="str">
        <x:v>-</x:v>
      </x:c>
      <x:c r="E21" s="41" t="str">
        <x:v>Frontend/Backend</x:v>
      </x:c>
      <x:c r="F21" s="41" t="str">
        <x:v>Must</x:v>
      </x:c>
      <x:c r="G21" s="111" t="str">
        <x:v>확정</x:v>
      </x:c>
    </x:row>
    <x:row r="22" ht="40" customHeight="1">
      <x:c r="A22" s="102" t="str">
        <x:v>F-PROF-005</x:v>
      </x:c>
      <x:c r="B22" s="41" t="str">
        <x:v>프로필 저장·수정</x:v>
      </x:c>
      <x:c r="C22" s="41" t="str">
        <x:v>ANA-001, MY-001</x:v>
      </x:c>
      <x:c r="D22" s="41" t="str">
        <x:v>PUT /api/users/me/profile</x:v>
      </x:c>
      <x:c r="E22" s="41" t="str">
        <x:v>Backend</x:v>
      </x:c>
      <x:c r="F22" s="41" t="str">
        <x:v>Must</x:v>
      </x:c>
      <x:c r="G22" s="111" t="str">
        <x:v>확정</x:v>
      </x:c>
    </x:row>
    <x:row r="23" ht="40" customHeight="1">
      <x:c r="A23" s="102" t="str">
        <x:v>F-ANA-001</x:v>
      </x:c>
      <x:c r="B23" s="41" t="str">
        <x:v>언어시험 정보 입력</x:v>
      </x:c>
      <x:c r="C23" s="41" t="str">
        <x:v>ANA-002</x:v>
      </x:c>
      <x:c r="D23" s="41" t="str">
        <x:v>-</x:v>
      </x:c>
      <x:c r="E23" s="41" t="str">
        <x:v>Frontend/Backend</x:v>
      </x:c>
      <x:c r="F23" s="41" t="str">
        <x:v>Must</x:v>
      </x:c>
      <x:c r="G23" s="111" t="str">
        <x:v>확정</x:v>
      </x:c>
    </x:row>
    <x:row r="24" ht="40" customHeight="1">
      <x:c r="A24" s="102" t="str">
        <x:v>F-ANA-002</x:v>
      </x:c>
      <x:c r="B24" s="41" t="str">
        <x:v>이주 조건 입력</x:v>
      </x:c>
      <x:c r="C24" s="41" t="str">
        <x:v>ANA-002</x:v>
      </x:c>
      <x:c r="D24" s="41" t="str">
        <x:v>-</x:v>
      </x:c>
      <x:c r="E24" s="41" t="str">
        <x:v>Frontend</x:v>
      </x:c>
      <x:c r="F24" s="41" t="str">
        <x:v>Must</x:v>
      </x:c>
      <x:c r="G24" s="111" t="str">
        <x:v>확정</x:v>
      </x:c>
    </x:row>
    <x:row r="25" ht="40" customHeight="1">
      <x:c r="A25" s="102" t="str">
        <x:v>F-ANA-003</x:v>
      </x:c>
      <x:c r="B25" s="41" t="str">
        <x:v>경력기술서 입력</x:v>
      </x:c>
      <x:c r="C25" s="41" t="str">
        <x:v>ANA-002</x:v>
      </x:c>
      <x:c r="D25" s="41" t="str">
        <x:v>-</x:v>
      </x:c>
      <x:c r="E25" s="41" t="str">
        <x:v>Frontend/Backend</x:v>
      </x:c>
      <x:c r="F25" s="41" t="str">
        <x:v>Must</x:v>
      </x:c>
      <x:c r="G25" s="111" t="str">
        <x:v>확정</x:v>
      </x:c>
    </x:row>
    <x:row r="26" ht="40" customHeight="1">
      <x:c r="A26" s="102" t="str">
        <x:v>F-ANA-004</x:v>
      </x:c>
      <x:c r="B26" s="41" t="str">
        <x:v>분석 요청 생성</x:v>
      </x:c>
      <x:c r="C26" s="41" t="str">
        <x:v>ANA-002</x:v>
      </x:c>
      <x:c r="D26" s="41" t="str">
        <x:v>POST /api/analyses</x:v>
      </x:c>
      <x:c r="E26" s="41" t="str">
        <x:v>Backend</x:v>
      </x:c>
      <x:c r="F26" s="41" t="str">
        <x:v>Must</x:v>
      </x:c>
      <x:c r="G26" s="111" t="str">
        <x:v>확정</x:v>
      </x:c>
    </x:row>
    <x:row r="27" ht="40" customHeight="1">
      <x:c r="A27" s="102" t="str">
        <x:v>F-ANA-005</x:v>
      </x:c>
      <x:c r="B27" s="41" t="str">
        <x:v>분석 상태 조회</x:v>
      </x:c>
      <x:c r="C27" s="41" t="str">
        <x:v>ANA-003</x:v>
      </x:c>
      <x:c r="D27" s="41" t="str">
        <x:v>GET /api/analyses/{analysisId}</x:v>
      </x:c>
      <x:c r="E27" s="41" t="str">
        <x:v>Frontend/Backend</x:v>
      </x:c>
      <x:c r="F27" s="41" t="str">
        <x:v>Must</x:v>
      </x:c>
      <x:c r="G27" s="111" t="str">
        <x:v>확정</x:v>
      </x:c>
    </x:row>
    <x:row r="28" ht="40" customHeight="1">
      <x:c r="A28" s="102" t="str">
        <x:v>F-ANA-006</x:v>
      </x:c>
      <x:c r="B28" s="41" t="str">
        <x:v>분석 진행 문구 표시</x:v>
      </x:c>
      <x:c r="C28" s="41" t="str">
        <x:v>ANA-003</x:v>
      </x:c>
      <x:c r="D28" s="41" t="str">
        <x:v>-</x:v>
      </x:c>
      <x:c r="E28" s="41" t="str">
        <x:v>Frontend</x:v>
      </x:c>
      <x:c r="F28" s="41" t="str">
        <x:v>Could</x:v>
      </x:c>
      <x:c r="G28" s="111" t="str">
        <x:v>확정</x:v>
      </x:c>
    </x:row>
    <x:row r="29" ht="40" customHeight="1">
      <x:c r="A29" s="102" t="str">
        <x:v>F-ANA-007</x:v>
      </x:c>
      <x:c r="B29" s="41" t="str">
        <x:v>분석 실패 재시도</x:v>
      </x:c>
      <x:c r="C29" s="41" t="str">
        <x:v>ANA-003</x:v>
      </x:c>
      <x:c r="D29" s="41" t="str">
        <x:v>POST /api/analyses</x:v>
      </x:c>
      <x:c r="E29" s="41" t="str">
        <x:v>Frontend/Backend</x:v>
      </x:c>
      <x:c r="F29" s="41" t="str">
        <x:v>Should</x:v>
      </x:c>
      <x:c r="G29" s="111" t="str">
        <x:v>검토</x:v>
      </x:c>
    </x:row>
    <x:row r="30" ht="40" customHeight="1">
      <x:c r="A30" s="102" t="str">
        <x:v>F-AI-001</x:v>
      </x:c>
      <x:c r="B30" s="41" t="str">
        <x:v>캐나다 비자 규칙 분석</x:v>
      </x:c>
      <x:c r="C30" s="41" t="str">
        <x:v>-</x:v>
      </x:c>
      <x:c r="D30" s="41" t="str">
        <x:v>POST /ai/recommend</x:v>
      </x:c>
      <x:c r="E30" s="41" t="str">
        <x:v>AI Server</x:v>
      </x:c>
      <x:c r="F30" s="41" t="str">
        <x:v>Must</x:v>
      </x:c>
      <x:c r="G30" s="111" t="str">
        <x:v>확정</x:v>
      </x:c>
    </x:row>
    <x:row r="31" ht="40" customHeight="1">
      <x:c r="A31" s="102" t="str">
        <x:v>F-AI-002</x:v>
      </x:c>
      <x:c r="B31" s="41" t="str">
        <x:v>호주 비자 규칙 분석</x:v>
      </x:c>
      <x:c r="C31" s="41" t="str">
        <x:v>-</x:v>
      </x:c>
      <x:c r="D31" s="41" t="str">
        <x:v>POST /ai/recommend</x:v>
      </x:c>
      <x:c r="E31" s="41" t="str">
        <x:v>AI Server</x:v>
      </x:c>
      <x:c r="F31" s="41" t="str">
        <x:v>Must</x:v>
      </x:c>
      <x:c r="G31" s="111" t="str">
        <x:v>확정</x:v>
      </x:c>
    </x:row>
    <x:row r="32" ht="40" customHeight="1">
      <x:c r="A32" s="102" t="str">
        <x:v>F-AI-003</x:v>
      </x:c>
      <x:c r="B32" s="41" t="str">
        <x:v>영국 비자 규칙 분석</x:v>
      </x:c>
      <x:c r="C32" s="41" t="str">
        <x:v>-</x:v>
      </x:c>
      <x:c r="D32" s="41" t="str">
        <x:v>POST /ai/recommend</x:v>
      </x:c>
      <x:c r="E32" s="41" t="str">
        <x:v>AI Server</x:v>
      </x:c>
      <x:c r="F32" s="41" t="str">
        <x:v>Must</x:v>
      </x:c>
      <x:c r="G32" s="111" t="str">
        <x:v>확정</x:v>
      </x:c>
    </x:row>
    <x:row r="33" ht="40" customHeight="1">
      <x:c r="A33" s="102" t="str">
        <x:v>F-AI-004</x:v>
      </x:c>
      <x:c r="B33" s="41" t="str">
        <x:v>국가 환경 군집 분석</x:v>
      </x:c>
      <x:c r="C33" s="41" t="str">
        <x:v>-</x:v>
      </x:c>
      <x:c r="D33" s="41" t="str">
        <x:v>POST /ai/recommend</x:v>
      </x:c>
      <x:c r="E33" s="41" t="str">
        <x:v>AI Server</x:v>
      </x:c>
      <x:c r="F33" s="41" t="str">
        <x:v>Must</x:v>
      </x:c>
      <x:c r="G33" s="111" t="str">
        <x:v>확정</x:v>
      </x:c>
    </x:row>
    <x:row r="34" ht="40" customHeight="1">
      <x:c r="A34" s="102" t="str">
        <x:v>F-AI-005</x:v>
      </x:c>
      <x:c r="B34" s="41" t="str">
        <x:v>국가 환경 점수 산출</x:v>
      </x:c>
      <x:c r="C34" s="41" t="str">
        <x:v>-</x:v>
      </x:c>
      <x:c r="D34" s="41" t="str">
        <x:v>POST /ai/recommend</x:v>
      </x:c>
      <x:c r="E34" s="41" t="str">
        <x:v>AI Server</x:v>
      </x:c>
      <x:c r="F34" s="41" t="str">
        <x:v>Must</x:v>
      </x:c>
      <x:c r="G34" s="111" t="str">
        <x:v>확정</x:v>
      </x:c>
    </x:row>
    <x:row r="35" ht="40" customHeight="1">
      <x:c r="A35" s="102" t="str">
        <x:v>F-AI-006</x:v>
      </x:c>
      <x:c r="B35" s="41" t="str">
        <x:v>경력기술서 임베딩 생성</x:v>
      </x:c>
      <x:c r="C35" s="41" t="str">
        <x:v>-</x:v>
      </x:c>
      <x:c r="D35" s="41" t="str">
        <x:v>POST /ai/recommend</x:v>
      </x:c>
      <x:c r="E35" s="41" t="str">
        <x:v>AI Server</x:v>
      </x:c>
      <x:c r="F35" s="41" t="str">
        <x:v>Must</x:v>
      </x:c>
      <x:c r="G35" s="111" t="str">
        <x:v>확정</x:v>
      </x:c>
    </x:row>
    <x:row r="36" ht="40" customHeight="1">
      <x:c r="A36" s="102" t="str">
        <x:v>F-AI-007</x:v>
      </x:c>
      <x:c r="B36" s="41" t="str">
        <x:v>국가별 직업 유사도 계산</x:v>
      </x:c>
      <x:c r="C36" s="41" t="str">
        <x:v>-</x:v>
      </x:c>
      <x:c r="D36" s="41" t="str">
        <x:v>POST /ai/recommend</x:v>
      </x:c>
      <x:c r="E36" s="41" t="str">
        <x:v>AI Server</x:v>
      </x:c>
      <x:c r="F36" s="41" t="str">
        <x:v>Must</x:v>
      </x:c>
      <x:c r="G36" s="111" t="str">
        <x:v>확정</x:v>
      </x:c>
    </x:row>
    <x:row r="37" ht="40" customHeight="1">
      <x:c r="A37" s="102" t="str">
        <x:v>F-AI-008</x:v>
      </x:c>
      <x:c r="B37" s="41" t="str">
        <x:v>사용자 선호 점수 산출</x:v>
      </x:c>
      <x:c r="C37" s="41" t="str">
        <x:v>-</x:v>
      </x:c>
      <x:c r="D37" s="41" t="str">
        <x:v>POST /ai/recommend</x:v>
      </x:c>
      <x:c r="E37" s="41" t="str">
        <x:v>AI Server</x:v>
      </x:c>
      <x:c r="F37" s="41" t="str">
        <x:v>Should</x:v>
      </x:c>
      <x:c r="G37" s="111" t="str">
        <x:v>확정</x:v>
      </x:c>
    </x:row>
    <x:row r="38" ht="40" customHeight="1">
      <x:c r="A38" s="102" t="str">
        <x:v>F-AI-009</x:v>
      </x:c>
      <x:c r="B38" s="41" t="str">
        <x:v>종합 적합도 계산</x:v>
      </x:c>
      <x:c r="C38" s="41" t="str">
        <x:v>-</x:v>
      </x:c>
      <x:c r="D38" s="41" t="str">
        <x:v>POST /ai/recommend</x:v>
      </x:c>
      <x:c r="E38" s="41" t="str">
        <x:v>AI Server</x:v>
      </x:c>
      <x:c r="F38" s="41" t="str">
        <x:v>Must</x:v>
      </x:c>
      <x:c r="G38" s="111" t="str">
        <x:v>확정</x:v>
      </x:c>
    </x:row>
    <x:row r="39" ht="40" customHeight="1">
      <x:c r="A39" s="102" t="str">
        <x:v>F-AI-010</x:v>
      </x:c>
      <x:c r="B39" s="41" t="str">
        <x:v>국가 추천 순위 생성</x:v>
      </x:c>
      <x:c r="C39" s="41" t="str">
        <x:v>-</x:v>
      </x:c>
      <x:c r="D39" s="41" t="str">
        <x:v>POST /ai/recommend</x:v>
      </x:c>
      <x:c r="E39" s="41" t="str">
        <x:v>AI Server</x:v>
      </x:c>
      <x:c r="F39" s="41" t="str">
        <x:v>Must</x:v>
      </x:c>
      <x:c r="G39" s="111" t="str">
        <x:v>확정</x:v>
      </x:c>
    </x:row>
    <x:row r="40" ht="40" customHeight="1">
      <x:c r="A40" s="102" t="str">
        <x:v>F-AI-011</x:v>
      </x:c>
      <x:c r="B40" s="41" t="str">
        <x:v>강점·보완점 생성</x:v>
      </x:c>
      <x:c r="C40" s="41" t="str">
        <x:v>-</x:v>
      </x:c>
      <x:c r="D40" s="41" t="str">
        <x:v>POST /ai/recommend</x:v>
      </x:c>
      <x:c r="E40" s="41" t="str">
        <x:v>AI Server</x:v>
      </x:c>
      <x:c r="F40" s="41" t="str">
        <x:v>Must</x:v>
      </x:c>
      <x:c r="G40" s="111" t="str">
        <x:v>확정</x:v>
      </x:c>
    </x:row>
    <x:row r="41" ht="40" customHeight="1">
      <x:c r="A41" s="102" t="str">
        <x:v>F-RES-001</x:v>
      </x:c>
      <x:c r="B41" s="41" t="str">
        <x:v>분석 결과 저장</x:v>
      </x:c>
      <x:c r="C41" s="41" t="str">
        <x:v>-</x:v>
      </x:c>
      <x:c r="D41" s="41" t="str">
        <x:v>내부 처리</x:v>
      </x:c>
      <x:c r="E41" s="41" t="str">
        <x:v>Backend</x:v>
      </x:c>
      <x:c r="F41" s="41" t="str">
        <x:v>Must</x:v>
      </x:c>
      <x:c r="G41" s="111" t="str">
        <x:v>확정</x:v>
      </x:c>
    </x:row>
    <x:row r="42" ht="40" customHeight="1">
      <x:c r="A42" s="102" t="str">
        <x:v>F-RES-002</x:v>
      </x:c>
      <x:c r="B42" s="41" t="str">
        <x:v>분석 결과 상세 조회</x:v>
      </x:c>
      <x:c r="C42" s="41" t="str">
        <x:v>RES-001</x:v>
      </x:c>
      <x:c r="D42" s="41" t="str">
        <x:v>GET /api/analyses/{analysisId}</x:v>
      </x:c>
      <x:c r="E42" s="41" t="str">
        <x:v>Backend</x:v>
      </x:c>
      <x:c r="F42" s="41" t="str">
        <x:v>Must</x:v>
      </x:c>
      <x:c r="G42" s="111" t="str">
        <x:v>확정</x:v>
      </x:c>
    </x:row>
    <x:row r="43" ht="40" customHeight="1">
      <x:c r="A43" s="102" t="str">
        <x:v>F-RES-003</x:v>
      </x:c>
      <x:c r="B43" s="41" t="str">
        <x:v>국가 추천 TOP 3 표시</x:v>
      </x:c>
      <x:c r="C43" s="41" t="str">
        <x:v>RES-001</x:v>
      </x:c>
      <x:c r="D43" s="41" t="str">
        <x:v>-</x:v>
      </x:c>
      <x:c r="E43" s="41" t="str">
        <x:v>Frontend</x:v>
      </x:c>
      <x:c r="F43" s="41" t="str">
        <x:v>Must</x:v>
      </x:c>
      <x:c r="G43" s="111" t="str">
        <x:v>확정</x:v>
      </x:c>
    </x:row>
    <x:row r="44" ht="40" customHeight="1">
      <x:c r="A44" s="102" t="str">
        <x:v>F-RES-004</x:v>
      </x:c>
      <x:c r="B44" s="41" t="str">
        <x:v>세부 점수 시각화</x:v>
      </x:c>
      <x:c r="C44" s="41" t="str">
        <x:v>RES-001</x:v>
      </x:c>
      <x:c r="D44" s="41" t="str">
        <x:v>-</x:v>
      </x:c>
      <x:c r="E44" s="41" t="str">
        <x:v>Frontend</x:v>
      </x:c>
      <x:c r="F44" s="41" t="str">
        <x:v>Should</x:v>
      </x:c>
      <x:c r="G44" s="111" t="str">
        <x:v>확정</x:v>
      </x:c>
    </x:row>
    <x:row r="45" ht="40" customHeight="1">
      <x:c r="A45" s="102" t="str">
        <x:v>F-RES-005</x:v>
      </x:c>
      <x:c r="B45" s="41" t="str">
        <x:v>강점·보완점 표시</x:v>
      </x:c>
      <x:c r="C45" s="41" t="str">
        <x:v>RES-001</x:v>
      </x:c>
      <x:c r="D45" s="41" t="str">
        <x:v>-</x:v>
      </x:c>
      <x:c r="E45" s="41" t="str">
        <x:v>Frontend</x:v>
      </x:c>
      <x:c r="F45" s="41" t="str">
        <x:v>Must</x:v>
      </x:c>
      <x:c r="G45" s="111" t="str">
        <x:v>확정</x:v>
      </x:c>
    </x:row>
    <x:row r="46" ht="40" customHeight="1">
      <x:c r="A46" s="102" t="str">
        <x:v>F-RES-006</x:v>
      </x:c>
      <x:c r="B46" s="41" t="str">
        <x:v>준비 체크리스트 표시</x:v>
      </x:c>
      <x:c r="C46" s="41" t="str">
        <x:v>RES-001</x:v>
      </x:c>
      <x:c r="D46" s="41" t="str">
        <x:v>-</x:v>
      </x:c>
      <x:c r="E46" s="41" t="str">
        <x:v>Frontend</x:v>
      </x:c>
      <x:c r="F46" s="41" t="str">
        <x:v>Should</x:v>
      </x:c>
      <x:c r="G46" s="111" t="str">
        <x:v>검토</x:v>
      </x:c>
    </x:row>
    <x:row r="47" ht="40" customHeight="1">
      <x:c r="A47" s="102" t="str">
        <x:v>F-RES-007</x:v>
      </x:c>
      <x:c r="B47" s="41" t="str">
        <x:v>결과 기반 AI 상담 이동</x:v>
      </x:c>
      <x:c r="C47" s="41" t="str">
        <x:v>RES-001</x:v>
      </x:c>
      <x:c r="D47" s="41" t="str">
        <x:v>-</x:v>
      </x:c>
      <x:c r="E47" s="41" t="str">
        <x:v>Frontend</x:v>
      </x:c>
      <x:c r="F47" s="41" t="str">
        <x:v>Should</x:v>
      </x:c>
      <x:c r="G47" s="111" t="str">
        <x:v>확정</x:v>
      </x:c>
    </x:row>
    <x:row r="48" ht="40" customHeight="1">
      <x:c r="A48" s="102" t="str">
        <x:v>F-RAG-001</x:v>
      </x:c>
      <x:c r="B48" s="41" t="str">
        <x:v>상담 세션 생성</x:v>
      </x:c>
      <x:c r="C48" s="41" t="str">
        <x:v>CHAT-001</x:v>
      </x:c>
      <x:c r="D48" s="41" t="str">
        <x:v>POST /api/chat</x:v>
      </x:c>
      <x:c r="E48" s="41" t="str">
        <x:v>Backend</x:v>
      </x:c>
      <x:c r="F48" s="41" t="str">
        <x:v>Must</x:v>
      </x:c>
      <x:c r="G48" s="111" t="str">
        <x:v>확정</x:v>
      </x:c>
    </x:row>
    <x:row r="49" ht="40" customHeight="1">
      <x:c r="A49" s="102" t="str">
        <x:v>F-RAG-002</x:v>
      </x:c>
      <x:c r="B49" s="41" t="str">
        <x:v>상담 질문 입력</x:v>
      </x:c>
      <x:c r="C49" s="41" t="str">
        <x:v>CHAT-001</x:v>
      </x:c>
      <x:c r="D49" s="41" t="str">
        <x:v>-</x:v>
      </x:c>
      <x:c r="E49" s="41" t="str">
        <x:v>Frontend</x:v>
      </x:c>
      <x:c r="F49" s="41" t="str">
        <x:v>Must</x:v>
      </x:c>
      <x:c r="G49" s="111" t="str">
        <x:v>확정</x:v>
      </x:c>
    </x:row>
    <x:row r="50" ht="40" customHeight="1">
      <x:c r="A50" s="102" t="str">
        <x:v>F-RAG-003</x:v>
      </x:c>
      <x:c r="B50" s="41" t="str">
        <x:v>정책 문서 벡터 검색</x:v>
      </x:c>
      <x:c r="C50" s="41" t="str">
        <x:v>-</x:v>
      </x:c>
      <x:c r="D50" s="41" t="str">
        <x:v>POST /ai/rag/answer</x:v>
      </x:c>
      <x:c r="E50" s="41" t="str">
        <x:v>AI Server</x:v>
      </x:c>
      <x:c r="F50" s="41" t="str">
        <x:v>Must</x:v>
      </x:c>
      <x:c r="G50" s="111" t="str">
        <x:v>확정</x:v>
      </x:c>
    </x:row>
    <x:row r="51" ht="40" customHeight="1">
      <x:c r="A51" s="102" t="str">
        <x:v>F-RAG-004</x:v>
      </x:c>
      <x:c r="B51" s="41" t="str">
        <x:v>공식 문서 기반 답변 생성</x:v>
      </x:c>
      <x:c r="C51" s="41" t="str">
        <x:v>-</x:v>
      </x:c>
      <x:c r="D51" s="41" t="str">
        <x:v>POST /ai/rag/answer</x:v>
      </x:c>
      <x:c r="E51" s="41" t="str">
        <x:v>AI Server</x:v>
      </x:c>
      <x:c r="F51" s="41" t="str">
        <x:v>Must</x:v>
      </x:c>
      <x:c r="G51" s="111" t="str">
        <x:v>확정</x:v>
      </x:c>
    </x:row>
    <x:row r="52" ht="40" customHeight="1">
      <x:c r="A52" s="102" t="str">
        <x:v>F-RAG-005</x:v>
      </x:c>
      <x:c r="B52" s="41" t="str">
        <x:v>출처와 기준일 반환</x:v>
      </x:c>
      <x:c r="C52" s="41" t="str">
        <x:v>CHAT-001</x:v>
      </x:c>
      <x:c r="D52" s="41" t="str">
        <x:v>POST /api/chat</x:v>
      </x:c>
      <x:c r="E52" s="41" t="str">
        <x:v>AI Server/Backend</x:v>
      </x:c>
      <x:c r="F52" s="41" t="str">
        <x:v>Must</x:v>
      </x:c>
      <x:c r="G52" s="111" t="str">
        <x:v>확정</x:v>
      </x:c>
    </x:row>
    <x:row r="53" ht="40" customHeight="1">
      <x:c r="A53" s="102" t="str">
        <x:v>F-RAG-006</x:v>
      </x:c>
      <x:c r="B53" s="41" t="str">
        <x:v>근거 부족 답변 차단</x:v>
      </x:c>
      <x:c r="C53" s="41" t="str">
        <x:v>CHAT-001</x:v>
      </x:c>
      <x:c r="D53" s="41" t="str">
        <x:v>POST /api/chat</x:v>
      </x:c>
      <x:c r="E53" s="41" t="str">
        <x:v>AI Server</x:v>
      </x:c>
      <x:c r="F53" s="41" t="str">
        <x:v>Must</x:v>
      </x:c>
      <x:c r="G53" s="111" t="str">
        <x:v>확정</x:v>
      </x:c>
    </x:row>
    <x:row r="54" ht="40" customHeight="1">
      <x:c r="A54" s="102" t="str">
        <x:v>F-RAG-007</x:v>
      </x:c>
      <x:c r="B54" s="41" t="str">
        <x:v>상담 이력 저장</x:v>
      </x:c>
      <x:c r="C54" s="41" t="str">
        <x:v>-</x:v>
      </x:c>
      <x:c r="D54" s="41" t="str">
        <x:v>POST /api/chat</x:v>
      </x:c>
      <x:c r="E54" s="41" t="str">
        <x:v>Backend</x:v>
      </x:c>
      <x:c r="F54" s="41" t="str">
        <x:v>Should</x:v>
      </x:c>
      <x:c r="G54" s="111" t="str">
        <x:v>확정</x:v>
      </x:c>
    </x:row>
    <x:row r="55" ht="40" customHeight="1">
      <x:c r="A55" s="102" t="str">
        <x:v>F-RAG-008</x:v>
      </x:c>
      <x:c r="B55" s="41" t="str">
        <x:v>상담 이력 조회</x:v>
      </x:c>
      <x:c r="C55" s="41" t="str">
        <x:v>CHAT-001</x:v>
      </x:c>
      <x:c r="D55" s="41" t="str">
        <x:v>GET /api/chat/sessions/{sessionId}</x:v>
      </x:c>
      <x:c r="E55" s="41" t="str">
        <x:v>Backend</x:v>
      </x:c>
      <x:c r="F55" s="41" t="str">
        <x:v>Should</x:v>
      </x:c>
      <x:c r="G55" s="111" t="str">
        <x:v>확정</x:v>
      </x:c>
    </x:row>
    <x:row r="56" ht="40" customHeight="1">
      <x:c r="A56" s="102" t="str">
        <x:v>F-MY-001</x:v>
      </x:c>
      <x:c r="B56" s="41" t="str">
        <x:v>내 분석 이력 목록 조회</x:v>
      </x:c>
      <x:c r="C56" s="41" t="str">
        <x:v>MY-001</x:v>
      </x:c>
      <x:c r="D56" s="41" t="str">
        <x:v>GET /api/analyses</x:v>
      </x:c>
      <x:c r="E56" s="41" t="str">
        <x:v>Backend</x:v>
      </x:c>
      <x:c r="F56" s="41" t="str">
        <x:v>Must</x:v>
      </x:c>
      <x:c r="G56" s="111" t="str">
        <x:v>확정</x:v>
      </x:c>
    </x:row>
    <x:row r="57" ht="40" customHeight="1">
      <x:c r="A57" s="102" t="str">
        <x:v>F-MY-002</x:v>
      </x:c>
      <x:c r="B57" s="41" t="str">
        <x:v>분석 이력 정렬</x:v>
      </x:c>
      <x:c r="C57" s="41" t="str">
        <x:v>MY-001</x:v>
      </x:c>
      <x:c r="D57" s="41" t="str">
        <x:v>GET /api/analyses</x:v>
      </x:c>
      <x:c r="E57" s="41" t="str">
        <x:v>Frontend/Backend</x:v>
      </x:c>
      <x:c r="F57" s="41" t="str">
        <x:v>Could</x:v>
      </x:c>
      <x:c r="G57" s="111" t="str">
        <x:v>검토</x:v>
      </x:c>
    </x:row>
    <x:row r="58" ht="40" customHeight="1">
      <x:c r="A58" s="102" t="str">
        <x:v>F-MY-003</x:v>
      </x:c>
      <x:c r="B58" s="41" t="str">
        <x:v>과거 결과 다시 열기</x:v>
      </x:c>
      <x:c r="C58" s="41" t="str">
        <x:v>MY-001</x:v>
      </x:c>
      <x:c r="D58" s="41" t="str">
        <x:v>GET /api/analyses/{analysisId}</x:v>
      </x:c>
      <x:c r="E58" s="41" t="str">
        <x:v>Frontend</x:v>
      </x:c>
      <x:c r="F58" s="41" t="str">
        <x:v>Must</x:v>
      </x:c>
      <x:c r="G58" s="111" t="str">
        <x:v>확정</x:v>
      </x:c>
    </x:row>
    <x:row r="59" ht="40" customHeight="1">
      <x:c r="A59" s="102" t="str">
        <x:v>F-MY-004</x:v>
      </x:c>
      <x:c r="B59" s="41" t="str">
        <x:v>프로필 수정 이동</x:v>
      </x:c>
      <x:c r="C59" s="41" t="str">
        <x:v>MY-001</x:v>
      </x:c>
      <x:c r="D59" s="41" t="str">
        <x:v>GET /api/users/me/profile</x:v>
      </x:c>
      <x:c r="E59" s="41" t="str">
        <x:v>Frontend</x:v>
      </x:c>
      <x:c r="F59" s="41" t="str">
        <x:v>Should</x:v>
      </x:c>
      <x:c r="G59" s="111" t="str">
        <x:v>검토</x:v>
      </x:c>
    </x:row>
    <x:row r="60" ht="40" customHeight="1">
      <x:c r="A60" s="102" t="str">
        <x:v>F-SYS-001</x:v>
      </x:c>
      <x:c r="B60" s="41" t="str">
        <x:v>Backend 상태 확인</x:v>
      </x:c>
      <x:c r="C60" s="41" t="str">
        <x:v>-</x:v>
      </x:c>
      <x:c r="D60" s="41" t="str">
        <x:v>GET /api/health</x:v>
      </x:c>
      <x:c r="E60" s="41" t="str">
        <x:v>Backend</x:v>
      </x:c>
      <x:c r="F60" s="41" t="str">
        <x:v>Should</x:v>
      </x:c>
      <x:c r="G60" s="111" t="str">
        <x:v>확정</x:v>
      </x:c>
    </x:row>
    <x:row r="61" ht="40" customHeight="1">
      <x:c r="A61" s="102" t="str">
        <x:v>F-SYS-002</x:v>
      </x:c>
      <x:c r="B61" s="41" t="str">
        <x:v>AI Server 상태 확인</x:v>
      </x:c>
      <x:c r="C61" s="41" t="str">
        <x:v>-</x:v>
      </x:c>
      <x:c r="D61" s="41" t="str">
        <x:v>GET /ai/health</x:v>
      </x:c>
      <x:c r="E61" s="41" t="str">
        <x:v>AI Server</x:v>
      </x:c>
      <x:c r="F61" s="41" t="str">
        <x:v>Should</x:v>
      </x:c>
      <x:c r="G61" s="111" t="str">
        <x:v>확정</x:v>
      </x:c>
    </x:row>
    <x:row r="62" ht="40" customHeight="1">
      <x:c r="A62" s="102" t="str">
        <x:v>F-SYS-003</x:v>
      </x:c>
      <x:c r="B62" s="41" t="str">
        <x:v>사용자 데이터 소유권 검증</x:v>
      </x:c>
      <x:c r="C62" s="41" t="str">
        <x:v>RES-001, CHAT-001, MY-001</x:v>
      </x:c>
      <x:c r="D62" s="41" t="str">
        <x:v>조회 API</x:v>
      </x:c>
      <x:c r="E62" s="41" t="str">
        <x:v>Backend</x:v>
      </x:c>
      <x:c r="F62" s="41" t="str">
        <x:v>Must</x:v>
      </x:c>
      <x:c r="G62" s="111" t="str">
        <x:v>확정</x:v>
      </x:c>
    </x:row>
    <x:row r="63" ht="40" customHeight="1">
      <x:c r="A63" s="102" t="str">
        <x:v>F-SYS-004</x:v>
      </x:c>
      <x:c r="B63" s="41" t="str">
        <x:v>비밀정보 환경변수 관리</x:v>
      </x:c>
      <x:c r="C63" s="41" t="str">
        <x:v>-</x:v>
      </x:c>
      <x:c r="D63" s="41" t="str">
        <x:v>-</x:v>
      </x:c>
      <x:c r="E63" s="41" t="str">
        <x:v>Deployment</x:v>
      </x:c>
      <x:c r="F63" s="41" t="str">
        <x:v>Must</x:v>
      </x:c>
      <x:c r="G63" s="111" t="str">
        <x:v>확정</x:v>
      </x:c>
    </x:row>
    <x:row r="64" ht="40" customHeight="1">
      <x:c r="A64" s="103" t="str">
        <x:v>F-SYS-005</x:v>
      </x:c>
      <x:c r="B64" s="104" t="str">
        <x:v>Docker 기반 서비스 실행</x:v>
      </x:c>
      <x:c r="C64" s="104" t="str">
        <x:v>-</x:v>
      </x:c>
      <x:c r="D64" s="104" t="str">
        <x:v>-</x:v>
      </x:c>
      <x:c r="E64" s="104" t="str">
        <x:v>Deployment</x:v>
      </x:c>
      <x:c r="F64" s="104" t="str">
        <x:v>Must</x:v>
      </x:c>
      <x:c r="G64" s="112" t="str">
        <x:v>확정</x:v>
      </x:c>
    </x:row>
  </x:sheetData>
  <x:pageMargins left="0.7" right="0.7" top="0.75" bottom="0.75" header="0.3" footer="0.3"/>
  <x:tableParts count="1">
    <x:tablePart xmlns:r="http://schemas.openxmlformats.org/officeDocument/2006/relationships" r:id="R08d10055d3004c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8" hidden="0" customWidth="1"/>
    <x:col min="4" max="4" width="56" hidden="0" customWidth="1"/>
    <x:col min="5" max="5" width="16" hidden="0" customWidth="1"/>
    <x:col min="6" max="6" width="48" hidden="0" customWidth="1"/>
    <x:col min="7" max="7" width="18" hidden="0" customWidth="1"/>
  </x:cols>
  <x:sheetData>
    <x:row r="1" ht="48" customHeight="1">
      <x:c r="A1" s="99" t="str">
        <x:v>단계</x:v>
      </x:c>
      <x:c r="B1" s="100" t="str">
        <x:v>개발 범위</x:v>
      </x:c>
      <x:c r="C1" s="100" t="str">
        <x:v>대상 기능</x:v>
      </x:c>
      <x:c r="D1" s="100" t="str">
        <x:v>주요 작업</x:v>
      </x:c>
      <x:c r="E1" s="100" t="str">
        <x:v>우선순위</x:v>
      </x:c>
      <x:c r="F1" s="100" t="str">
        <x:v>완료 기준</x:v>
      </x:c>
      <x:c r="G1" s="101" t="str">
        <x:v>권장 일정</x:v>
      </x:c>
    </x:row>
    <x:row r="2" ht="48" customHeight="1">
      <x:c r="A2" s="102" t="str">
        <x:v>1단계</x:v>
      </x:c>
      <x:c r="B2" s="41" t="str">
        <x:v>프로젝트 기반·인증</x:v>
      </x:c>
      <x:c r="C2" s="29" t="str">
        <x:v>F-COM-001~005, F-HOME-001~003, F-AUTH-001~007</x:v>
      </x:c>
      <x:c r="D2" s="29" t="str">
        <x:v>공통 레이아웃, 회원가입, 로그인, JWT, 접근 제어</x:v>
      </x:c>
      <x:c r="E2" s="41" t="str">
        <x:v>Must</x:v>
      </x:c>
      <x:c r="F2" s="41" t="str">
        <x:v>회원가입 → 로그인 → 보호 화면 진입 가능</x:v>
      </x:c>
      <x:c r="G2" s="111" t="str">
        <x:v>7/17~7/20</x:v>
      </x:c>
    </x:row>
    <x:row r="3" ht="48" customHeight="1">
      <x:c r="A3" s="102" t="str">
        <x:v>2단계</x:v>
      </x:c>
      <x:c r="B3" s="41" t="str">
        <x:v>프로필·임시 분석 흐름</x:v>
      </x:c>
      <x:c r="C3" s="29" t="str">
        <x:v>F-PROF-001~005, F-ANA-001~006</x:v>
      </x:c>
      <x:c r="D3" s="29" t="str">
        <x:v>입력 폼, 프로필 저장, 임시 FastAPI 결과, 로딩</x:v>
      </x:c>
      <x:c r="E3" s="41" t="str">
        <x:v>Must</x:v>
      </x:c>
      <x:c r="F3" s="41" t="str">
        <x:v>Vue → Spring Boot → FastAPI → DB → 결과 화면 전체 흐름</x:v>
      </x:c>
      <x:c r="G3" s="111" t="str">
        <x:v>7/20~7/23</x:v>
      </x:c>
    </x:row>
    <x:row r="4" ht="48" customHeight="1">
      <x:c r="A4" s="102" t="str">
        <x:v>3단계</x:v>
      </x:c>
      <x:c r="B4" s="41" t="str">
        <x:v>규칙·ML 추천</x:v>
      </x:c>
      <x:c r="C4" s="29" t="str">
        <x:v>F-AI-001~005, F-AI-008~011, F-RES-001~005</x:v>
      </x:c>
      <x:c r="D4" s="29" t="str">
        <x:v>비자 규칙, K-Means, 환경 점수, 가중합, 결과 저장·표시</x:v>
      </x:c>
      <x:c r="E4" s="41" t="str">
        <x:v>Must</x:v>
      </x:c>
      <x:c r="F4" s="41" t="str">
        <x:v>임시 점수를 실제 규칙·ML 점수로 교체</x:v>
      </x:c>
      <x:c r="G4" s="111" t="str">
        <x:v>7/24~7/27</x:v>
      </x:c>
    </x:row>
    <x:row r="5" ht="48" customHeight="1">
      <x:c r="A5" s="102" t="str">
        <x:v>4단계</x:v>
      </x:c>
      <x:c r="B5" s="41" t="str">
        <x:v>직업 매칭 DL/NLP</x:v>
      </x:c>
      <x:c r="C5" s="29" t="str">
        <x:v>F-AI-006~007</x:v>
      </x:c>
      <x:c r="D5" s="29" t="str">
        <x:v>NOC·ANZSCO·SOC 전처리, 임베딩, 코사인 유사도</x:v>
      </x:c>
      <x:c r="E5" s="41" t="str">
        <x:v>Must</x:v>
      </x:c>
      <x:c r="F5" s="41" t="str">
        <x:v>국가별 매칭 직업과 유사도 반환</x:v>
      </x:c>
      <x:c r="G5" s="111" t="str">
        <x:v>7/28~7/30</x:v>
      </x:c>
    </x:row>
    <x:row r="6" ht="48" customHeight="1">
      <x:c r="A6" s="102" t="str">
        <x:v>5단계</x:v>
      </x:c>
      <x:c r="B6" s="41" t="str">
        <x:v>RAG 상담</x:v>
      </x:c>
      <x:c r="C6" s="29" t="str">
        <x:v>F-RAG-001~008</x:v>
      </x:c>
      <x:c r="D6" s="29" t="str">
        <x:v>공식 문서 청킹, pgvector, LLM 답변, 출처 반환</x:v>
      </x:c>
      <x:c r="E6" s="41" t="str">
        <x:v>Must</x:v>
      </x:c>
      <x:c r="F6" s="41" t="str">
        <x:v>질문 → 공식 문서 검색 → 답변·출처 표시</x:v>
      </x:c>
      <x:c r="G6" s="111" t="str">
        <x:v>7/31~8/2</x:v>
      </x:c>
    </x:row>
    <x:row r="7" ht="48" customHeight="1">
      <x:c r="A7" s="103" t="str">
        <x:v>6단계</x:v>
      </x:c>
      <x:c r="B7" s="104" t="str">
        <x:v>마이페이지·테스트·배포</x:v>
      </x:c>
      <x:c r="C7" s="79" t="str">
        <x:v>F-MY-001~004, F-SYS-001~005</x:v>
      </x:c>
      <x:c r="D7" s="79" t="str">
        <x:v>이력 조회, 테스트, Docker, 배포 점검</x:v>
      </x:c>
      <x:c r="E7" s="104" t="str">
        <x:v>Must/Should</x:v>
      </x:c>
      <x:c r="F7" s="104" t="str">
        <x:v>배포 환경에서 전체 시연 성공</x:v>
      </x:c>
      <x:c r="G7" s="112" t="str">
        <x:v>8/3~8/7</x:v>
      </x:c>
    </x:row>
  </x:sheetData>
  <x:conditionalFormatting sqref="E2:E100">
    <x:cfRule type="expression" dxfId="6" priority="1">
      <x:formula>LEFT(E2,4)="Must"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2b06536e5241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6" hidden="0" customWidth="1"/>
    <x:col min="4" max="4" width="48" hidden="0" customWidth="1"/>
    <x:col min="5" max="5" width="24" hidden="0" customWidth="1"/>
    <x:col min="6" max="6" width="12" hidden="0" customWidth="1"/>
    <x:col min="7" max="7" width="12" hidden="0" customWidth="1"/>
  </x:cols>
  <x:sheetData>
    <x:row r="1" ht="46" customHeight="1">
      <x:c r="A1" s="99" t="str">
        <x:v>테스트 ID</x:v>
      </x:c>
      <x:c r="B1" s="100" t="str">
        <x:v>테스트 항목</x:v>
      </x:c>
      <x:c r="C1" s="100" t="str">
        <x:v>사전 조건·입력</x:v>
      </x:c>
      <x:c r="D1" s="100" t="str">
        <x:v>기대 결과</x:v>
      </x:c>
      <x:c r="E1" s="100" t="str">
        <x:v>연관 기능</x:v>
      </x:c>
      <x:c r="F1" s="100" t="str">
        <x:v>우선순위</x:v>
      </x:c>
      <x:c r="G1" s="101" t="str">
        <x:v>결과</x:v>
      </x:c>
    </x:row>
    <x:row r="2" ht="46" customHeight="1">
      <x:c r="A2" s="102" t="str">
        <x:v>AT-001</x:v>
      </x:c>
      <x:c r="B2" s="41" t="str">
        <x:v>회원가입</x:v>
      </x:c>
      <x:c r="C2" s="29" t="str">
        <x:v>사용하지 않은 이메일과 유효한 비밀번호 입력</x:v>
      </x:c>
      <x:c r="D2" s="29" t="str">
        <x:v>회원 계정 생성 및 JWT 반환</x:v>
      </x:c>
      <x:c r="E2" s="41" t="str">
        <x:v>F-AUTH-002~003</x:v>
      </x:c>
      <x:c r="F2" s="41" t="str">
        <x:v>Must</x:v>
      </x:c>
      <x:c r="G2" s="111" t="str">
        <x:v>미실행</x:v>
      </x:c>
    </x:row>
    <x:row r="3" ht="46" customHeight="1">
      <x:c r="A3" s="102" t="str">
        <x:v>AT-002</x:v>
      </x:c>
      <x:c r="B3" s="41" t="str">
        <x:v>중복 회원가입</x:v>
      </x:c>
      <x:c r="C3" s="29" t="str">
        <x:v>이미 가입된 이메일 입력</x:v>
      </x:c>
      <x:c r="D3" s="29" t="str">
        <x:v>409 오류와 중복 이메일 안내</x:v>
      </x:c>
      <x:c r="E3" s="41" t="str">
        <x:v>F-AUTH-003</x:v>
      </x:c>
      <x:c r="F3" s="41" t="str">
        <x:v>Must</x:v>
      </x:c>
      <x:c r="G3" s="111" t="str">
        <x:v>미실행</x:v>
      </x:c>
    </x:row>
    <x:row r="4" ht="46" customHeight="1">
      <x:c r="A4" s="102" t="str">
        <x:v>AT-003</x:v>
      </x:c>
      <x:c r="B4" s="41" t="str">
        <x:v>로그인</x:v>
      </x:c>
      <x:c r="C4" s="29" t="str">
        <x:v>올바른 이메일과 비밀번호 입력</x:v>
      </x:c>
      <x:c r="D4" s="29" t="str">
        <x:v>JWT 저장 후 분석 화면 이동</x:v>
      </x:c>
      <x:c r="E4" s="41" t="str">
        <x:v>F-AUTH-004~006</x:v>
      </x:c>
      <x:c r="F4" s="41" t="str">
        <x:v>Must</x:v>
      </x:c>
      <x:c r="G4" s="111" t="str">
        <x:v>미실행</x:v>
      </x:c>
    </x:row>
    <x:row r="5" ht="46" customHeight="1">
      <x:c r="A5" s="102" t="str">
        <x:v>AT-004</x:v>
      </x:c>
      <x:c r="B5" s="41" t="str">
        <x:v>보호 화면 접근</x:v>
      </x:c>
      <x:c r="C5" s="29" t="str">
        <x:v>비로그인 상태에서 /my-results 직접 접근</x:v>
      </x:c>
      <x:c r="D5" s="29" t="str">
        <x:v>로그인 화면 이동</x:v>
      </x:c>
      <x:c r="E5" s="41" t="str">
        <x:v>F-COM-002</x:v>
      </x:c>
      <x:c r="F5" s="41" t="str">
        <x:v>Must</x:v>
      </x:c>
      <x:c r="G5" s="111" t="str">
        <x:v>미실행</x:v>
      </x:c>
    </x:row>
    <x:row r="6" ht="46" customHeight="1">
      <x:c r="A6" s="102" t="str">
        <x:v>AT-005</x:v>
      </x:c>
      <x:c r="B6" s="41" t="str">
        <x:v>프로필 입력 검증</x:v>
      </x:c>
      <x:c r="C6" s="29" t="str">
        <x:v>나이에 17 입력</x:v>
      </x:c>
      <x:c r="D6" s="29" t="str">
        <x:v>제출 차단 및 범위 오류 표시</x:v>
      </x:c>
      <x:c r="E6" s="41" t="str">
        <x:v>F-PROF-004</x:v>
      </x:c>
      <x:c r="F6" s="41" t="str">
        <x:v>Must</x:v>
      </x:c>
      <x:c r="G6" s="111" t="str">
        <x:v>미실행</x:v>
      </x:c>
    </x:row>
    <x:row r="7" ht="46" customHeight="1">
      <x:c r="A7" s="102" t="str">
        <x:v>AT-006</x:v>
      </x:c>
      <x:c r="B7" s="41" t="str">
        <x:v>분석 요청</x:v>
      </x:c>
      <x:c r="C7" s="29" t="str">
        <x:v>필수 분석 입력 완료 후 분석 시작</x:v>
      </x:c>
      <x:c r="D7" s="29" t="str">
        <x:v>analysisId와 PENDING 상태 반환</x:v>
      </x:c>
      <x:c r="E7" s="41" t="str">
        <x:v>F-ANA-004</x:v>
      </x:c>
      <x:c r="F7" s="41" t="str">
        <x:v>Must</x:v>
      </x:c>
      <x:c r="G7" s="111" t="str">
        <x:v>미실행</x:v>
      </x:c>
    </x:row>
    <x:row r="8" ht="46" customHeight="1">
      <x:c r="A8" s="102" t="str">
        <x:v>AT-007</x:v>
      </x:c>
      <x:c r="B8" s="41" t="str">
        <x:v>국가 추천</x:v>
      </x:c>
      <x:c r="C8" s="29" t="str">
        <x:v>유효한 분석 요청</x:v>
      </x:c>
      <x:c r="D8" s="29" t="str">
        <x:v>캐나다·호주·영국 3개국 결과와 순위 반환</x:v>
      </x:c>
      <x:c r="E8" s="41" t="str">
        <x:v>F-AI-001~011</x:v>
      </x:c>
      <x:c r="F8" s="41" t="str">
        <x:v>Must</x:v>
      </x:c>
      <x:c r="G8" s="111" t="str">
        <x:v>미실행</x:v>
      </x:c>
    </x:row>
    <x:row r="9" ht="46" customHeight="1">
      <x:c r="A9" s="102" t="str">
        <x:v>AT-008</x:v>
      </x:c>
      <x:c r="B9" s="41" t="str">
        <x:v>점수 범위</x:v>
      </x:c>
      <x:c r="C9" s="29" t="str">
        <x:v>분석 결과 확인</x:v>
      </x:c>
      <x:c r="D9" s="29" t="str">
        <x:v>모든 세부·종합 점수가 0~100 범위</x:v>
      </x:c>
      <x:c r="E9" s="41" t="str">
        <x:v>F-AI-005, F-AI-009</x:v>
      </x:c>
      <x:c r="F9" s="41" t="str">
        <x:v>Must</x:v>
      </x:c>
      <x:c r="G9" s="111" t="str">
        <x:v>미실행</x:v>
      </x:c>
    </x:row>
    <x:row r="10" ht="46" customHeight="1">
      <x:c r="A10" s="102" t="str">
        <x:v>AT-009</x:v>
      </x:c>
      <x:c r="B10" s="41" t="str">
        <x:v>직업 매칭</x:v>
      </x:c>
      <x:c r="C10" s="29" t="str">
        <x:v>경력기술서 100자 이상 입력</x:v>
      </x:c>
      <x:c r="D10" s="29" t="str">
        <x:v>국가별 직업 코드·명칭·유사도 반환</x:v>
      </x:c>
      <x:c r="E10" s="41" t="str">
        <x:v>F-AI-006~007</x:v>
      </x:c>
      <x:c r="F10" s="41" t="str">
        <x:v>Must</x:v>
      </x:c>
      <x:c r="G10" s="111" t="str">
        <x:v>미실행</x:v>
      </x:c>
    </x:row>
    <x:row r="11" ht="46" customHeight="1">
      <x:c r="A11" s="102" t="str">
        <x:v>AT-010</x:v>
      </x:c>
      <x:c r="B11" s="41" t="str">
        <x:v>분석 결과 소유권</x:v>
      </x:c>
      <x:c r="C11" s="29" t="str">
        <x:v>다른 사용자의 analysisId 조회</x:v>
      </x:c>
      <x:c r="D11" s="29" t="str">
        <x:v>403 오류 반환</x:v>
      </x:c>
      <x:c r="E11" s="41" t="str">
        <x:v>F-SYS-003</x:v>
      </x:c>
      <x:c r="F11" s="41" t="str">
        <x:v>Must</x:v>
      </x:c>
      <x:c r="G11" s="111" t="str">
        <x:v>미실행</x:v>
      </x:c>
    </x:row>
    <x:row r="12" ht="46" customHeight="1">
      <x:c r="A12" s="102" t="str">
        <x:v>AT-011</x:v>
      </x:c>
      <x:c r="B12" s="41" t="str">
        <x:v>RAG 답변</x:v>
      </x:c>
      <x:c r="C12" s="29" t="str">
        <x:v>캐나다 FSW 필요 서류 질문</x:v>
      </x:c>
      <x:c r="D12" s="29" t="str">
        <x:v>공식 문서 기반 답변과 출처 URL·기준일 반환</x:v>
      </x:c>
      <x:c r="E12" s="41" t="str">
        <x:v>F-RAG-003~005</x:v>
      </x:c>
      <x:c r="F12" s="41" t="str">
        <x:v>Must</x:v>
      </x:c>
      <x:c r="G12" s="111" t="str">
        <x:v>미실행</x:v>
      </x:c>
    </x:row>
    <x:row r="13" ht="46" customHeight="1">
      <x:c r="A13" s="102" t="str">
        <x:v>AT-012</x:v>
      </x:c>
      <x:c r="B13" s="41" t="str">
        <x:v>RAG 근거 부족</x:v>
      </x:c>
      <x:c r="C13" s="29" t="str">
        <x:v>등록 문서에 없는 질문 입력</x:v>
      </x:c>
      <x:c r="D13" s="29" t="str">
        <x:v>answerable=false 및 확인 안내</x:v>
      </x:c>
      <x:c r="E13" s="41" t="str">
        <x:v>F-RAG-006</x:v>
      </x:c>
      <x:c r="F13" s="41" t="str">
        <x:v>Must</x:v>
      </x:c>
      <x:c r="G13" s="111" t="str">
        <x:v>미실행</x:v>
      </x:c>
    </x:row>
    <x:row r="14" ht="46" customHeight="1">
      <x:c r="A14" s="102" t="str">
        <x:v>AT-013</x:v>
      </x:c>
      <x:c r="B14" s="41" t="str">
        <x:v>내 결과</x:v>
      </x:c>
      <x:c r="C14" s="29" t="str">
        <x:v>분석 완료 후 내 결과 진입</x:v>
      </x:c>
      <x:c r="D14" s="29" t="str">
        <x:v>본인 분석 이력과 1순위 국가·점수 표시</x:v>
      </x:c>
      <x:c r="E14" s="41" t="str">
        <x:v>F-MY-001</x:v>
      </x:c>
      <x:c r="F14" s="41" t="str">
        <x:v>Must</x:v>
      </x:c>
      <x:c r="G14" s="111" t="str">
        <x:v>미실행</x:v>
      </x:c>
    </x:row>
    <x:row r="15" ht="46" customHeight="1">
      <x:c r="A15" s="102" t="str">
        <x:v>AT-014</x:v>
      </x:c>
      <x:c r="B15" s="41" t="str">
        <x:v>과거 결과 조회</x:v>
      </x:c>
      <x:c r="C15" s="29" t="str">
        <x:v>이력 카드 선택</x:v>
      </x:c>
      <x:c r="D15" s="29" t="str">
        <x:v>선택한 결과 상세 화면 정상 표시</x:v>
      </x:c>
      <x:c r="E15" s="41" t="str">
        <x:v>F-MY-003</x:v>
      </x:c>
      <x:c r="F15" s="41" t="str">
        <x:v>Must</x:v>
      </x:c>
      <x:c r="G15" s="111" t="str">
        <x:v>미실행</x:v>
      </x:c>
    </x:row>
    <x:row r="16" ht="46" customHeight="1">
      <x:c r="A16" s="103" t="str">
        <x:v>AT-015</x:v>
      </x:c>
      <x:c r="B16" s="104" t="str">
        <x:v>상태 확인</x:v>
      </x:c>
      <x:c r="C16" s="79" t="str">
        <x:v>배포 후 health API 호출</x:v>
      </x:c>
      <x:c r="D16" s="79" t="str">
        <x:v>Backend와 AI Server 상태 UP 반환</x:v>
      </x:c>
      <x:c r="E16" s="104" t="str">
        <x:v>F-SYS-001~002</x:v>
      </x:c>
      <x:c r="F16" s="104" t="str">
        <x:v>Should</x:v>
      </x:c>
      <x:c r="G16" s="112" t="str">
        <x:v>미실행</x:v>
      </x:c>
    </x:row>
  </x:sheetData>
  <x:conditionalFormatting sqref="G2:G100">
    <x:cfRule type="expression" dxfId="7" priority="1">
      <x:formula>G2="통과"</x:formula>
    </x:cfRule>
    <x:cfRule type="expression" dxfId="8" priority="2">
      <x:formula>G2="실패"</x:formula>
    </x:cfRule>
    <x:cfRule type="expression" dxfId="9" priority="3">
      <x:formula>G2="보류"</x:formula>
    </x:cfRule>
  </x:conditionalFormatting>
  <x:dataValidations count="1">
    <x:dataValidation type="list" sqref="G2:G100">
      <x:formula1>"미실행,통과,실패,보류"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213c921b4e4052"/>
  </x:tableParts>
</x:worksheet>
</file>