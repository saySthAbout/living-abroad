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4f2a3caf1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지_요약" sheetId="1" r:id="R105571ab7f0144df"/>
    <x:sheet xmlns:r="http://schemas.openxmlformats.org/officeDocument/2006/relationships" name="메뉴구조도" sheetId="2" r:id="R5bd6f398a7e24f70"/>
    <x:sheet xmlns:r="http://schemas.openxmlformats.org/officeDocument/2006/relationships" name="메뉴목록" sheetId="3" r:id="Rf3b66025ddf04894"/>
    <x:sheet xmlns:r="http://schemas.openxmlformats.org/officeDocument/2006/relationships" name="권한별_메뉴" sheetId="4" r:id="R61ea1eccb4e64db5"/>
    <x:sheet xmlns:r="http://schemas.openxmlformats.org/officeDocument/2006/relationships" name="라우트맵" sheetId="5" r:id="Rd60a765032134a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color rgb="FF0F2A5F"/>
      <x:name val="Carlito"/>
    </x:font>
    <x:font>
      <x:b/>
      <x:sz val="11"/>
      <x:color rgb="FFDBEAF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A5F"/>
      </x:patternFill>
    </x:fill>
    <x:fill>
      <x:patternFill patternType="solid">
        <x:fgColor rgb="FFEAF2FF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1" fillId="2" borderId="14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2" fillId="2" borderId="13" xfId="0" applyNumberFormat="1" applyFont="1" applyFill="1" applyBorder="1" applyAlignment="1">
      <x:alignment horizontal="center" vertical="center" wrapText="1"/>
    </x:xf>
    <x:xf numFmtId="0" fontId="2" fillId="4" borderId="14" xfId="0" applyNumberFormat="1" applyFont="1" applyFill="1" applyBorder="1" applyAlignment="1">
      <x:alignment horizontal="center" vertical="center"/>
    </x:xf>
    <x:xf numFmtId="0" fontId="3" fillId="3" borderId="13" xfId="0" applyNumberFormat="1" applyFont="1" applyFill="1" applyBorder="1" applyAlignment="1">
      <x:alignment horizontal="center" vertical="center" wrapText="1"/>
    </x:xf>
    <x:xf numFmtId="0" fontId="2" fillId="4" borderId="13" xfId="0" applyNumberFormat="1" applyFont="1" applyFill="1" applyBorder="1" applyAlignment="1">
      <x:alignment horizontal="center" vertical="center"/>
    </x:xf>
    <x:xf numFmtId="0" fontId="3" fillId="5" borderId="13" xfId="0" applyNumberFormat="1" applyFont="1" applyFill="1" applyBorder="1" applyAlignment="1">
      <x:alignment horizontal="center" vertical="center" wrapText="1"/>
    </x:xf>
    <x:xf numFmtId="0" fontId="3" fillId="5" borderId="14" xfId="0" applyNumberFormat="1" applyFont="1" applyFill="1" applyBorder="1" applyAlignment="1">
      <x:alignment horizontal="center" vertical="center" wrapText="1"/>
    </x:xf>
    <x:xf numFmtId="0" fontId="4" fillId="6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5" fillId="5" borderId="15" xfId="0" applyNumberFormat="1" applyFont="1" applyFill="1" applyBorder="1" applyAlignment="1">
      <x:alignment horizontal="center" vertical="center" wrapText="1"/>
    </x:xf>
    <x:xf numFmtId="0" fontId="3" fillId="3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ill>
        <x:patternFill patternType="solid">
          <x:bgColor rgb="FFD1FAE5"/>
        </x:patternFill>
      </x:fill>
    </x:dxf>
    <x:dxf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D1FAE5"/>
        </x:patternFill>
      </x:fill>
    </x:dxf>
    <x:dxf>
      <x:fill>
        <x:patternFill patternType="solid">
          <x:bgColor rgb="FFD1FAE5"/>
        </x:patternFill>
      </x:fill>
    </x:dxf>
    <x:dxf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D1FAE5"/>
        </x:patternFill>
      </x:fill>
    </x:dxf>
    <x:dxf>
      <x:fill>
        <x:patternFill patternType="solid">
          <x:bgColor rgb="FFD1FAE5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1FAE5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9f374bf1a49c6" /><Relationship Type="http://schemas.openxmlformats.org/officeDocument/2006/relationships/theme" Target="/xl/theme/theme1.xml" Id="R796aa7d953034d00" /><Relationship Type="http://schemas.openxmlformats.org/officeDocument/2006/relationships/sharedStrings" Target="/xl/sharedStrings.xml" Id="Rb1c4a4fa1df149e6" /><Relationship Type="http://schemas.openxmlformats.org/officeDocument/2006/relationships/worksheet" Target="/xl/worksheets/sheet1.xml" Id="R105571ab7f0144df" /><Relationship Type="http://schemas.openxmlformats.org/officeDocument/2006/relationships/worksheet" Target="/xl/worksheets/sheet2.xml" Id="R5bd6f398a7e24f70" /><Relationship Type="http://schemas.openxmlformats.org/officeDocument/2006/relationships/worksheet" Target="/xl/worksheets/sheet3.xml" Id="Rf3b66025ddf04894" /><Relationship Type="http://schemas.openxmlformats.org/officeDocument/2006/relationships/worksheet" Target="/xl/worksheets/sheet4.xml" Id="R61ea1eccb4e64db5" /><Relationship Type="http://schemas.openxmlformats.org/officeDocument/2006/relationships/worksheet" Target="/xl/worksheets/sheet5.xml" Id="Rd60a765032134aa1" /></Relationships>
</file>

<file path=xl/tables/table1.xml><?xml version="1.0" encoding="utf-8"?>
<x:table xmlns:x="http://schemas.openxmlformats.org/spreadsheetml/2006/main" id="1" name="MenuTreeTable" displayName="MenuTreeTable" ref="A4:H14" headerRowCount="1">
  <x:tableColumns count="8">
    <x:tableColumn id="1" name="1Depth 메뉴"/>
    <x:tableColumn id="2" name="2Depth 메뉴"/>
    <x:tableColumn id="3" name="3Depth / 상세"/>
    <x:tableColumn id="4" name="화면 ID"/>
    <x:tableColumn id="5" name="Route"/>
    <x:tableColumn id="6" name="접근 권한"/>
    <x:tableColumn id="7" name="Header 노출"/>
    <x:tableColumn id="8" name="설명"/>
  </x:tableColumns>
  <x:tableStyleInfo name="TableStyleMedium2" showRowStripes="1"/>
</x:table>
</file>

<file path=xl/tables/table2.xml><?xml version="1.0" encoding="utf-8"?>
<x:table xmlns:x="http://schemas.openxmlformats.org/spreadsheetml/2006/main" id="2" name="MenuListTable" displayName="MenuListTable" ref="A1:L11" headerRowCount="1">
  <x:tableColumns count="12">
    <x:tableColumn id="1" name="메뉴 ID"/>
    <x:tableColumn id="2" name="1Depth"/>
    <x:tableColumn id="3" name="2Depth"/>
    <x:tableColumn id="4" name="3Depth"/>
    <x:tableColumn id="5" name="화면 ID"/>
    <x:tableColumn id="6" name="Route"/>
    <x:tableColumn id="7" name="메뉴 표시명"/>
    <x:tableColumn id="8" name="접근 권한"/>
    <x:tableColumn id="9" name="Header 노출"/>
    <x:tableColumn id="10" name="정렬 순서"/>
    <x:tableColumn id="11" name="기능 설명"/>
    <x:tableColumn id="12" name="상태"/>
  </x:tableColumns>
  <x:tableStyleInfo name="TableStyleMedium2" showRowStripes="1"/>
</x:table>
</file>

<file path=xl/tables/table3.xml><?xml version="1.0" encoding="utf-8"?>
<x:table xmlns:x="http://schemas.openxmlformats.org/spreadsheetml/2006/main" id="3" name="RoleMenuTable" displayName="RoleMenuTable" ref="A1:G11" headerRowCount="1">
  <x:tableColumns count="7">
    <x:tableColumn id="1" name="메뉴 ID"/>
    <x:tableColumn id="2" name="메뉴명"/>
    <x:tableColumn id="3" name="비로그인 사용자"/>
    <x:tableColumn id="4" name="로그인 사용자"/>
    <x:tableColumn id="5" name="직접 URL 접근"/>
    <x:tableColumn id="6" name="접근 실패 처리"/>
    <x:tableColumn id="7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RouteMapTable" displayName="RouteMapTable" ref="A1:J9" headerRowCount="1">
  <x:tableColumns count="10">
    <x:tableColumn id="1" name="화면 ID"/>
    <x:tableColumn id="2" name="화면명"/>
    <x:tableColumn id="3" name="Route"/>
    <x:tableColumn id="4" name="Vue View"/>
    <x:tableColumn id="5" name="접근 권한"/>
    <x:tableColumn id="6" name="Header 메뉴"/>
    <x:tableColumn id="7" name="화면 유형"/>
    <x:tableColumn id="8" name="주요 기능"/>
    <x:tableColumn id="9" name="연동 API"/>
    <x:tableColumn id="10" name="Route 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e67eb6f9f343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872365c15d4a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7dd4bea72049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107ec2afd3420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4" hidden="0" customWidth="1"/>
    <x:col min="4" max="4" width="23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62" t="str">
        <x:v>Living Abroad 메뉴 구조도</x:v>
      </x:c>
      <x:c r="B1" s="63"/>
      <x:c r="C1" s="63"/>
      <x:c r="D1" s="63"/>
      <x:c r="E1" s="63"/>
      <x:c r="F1" s="63"/>
      <x:c r="G1" s="63"/>
      <x:c r="H1" s="64"/>
    </x:row>
    <x:row r="2" ht="32" customHeight="1">
      <x:c r="A2" s="65"/>
      <x:c r="B2" s="5"/>
      <x:c r="C2" s="5"/>
      <x:c r="D2" s="5"/>
      <x:c r="E2" s="5"/>
      <x:c r="F2" s="5"/>
      <x:c r="G2" s="5"/>
      <x:c r="H2" s="66"/>
    </x:row>
    <x:row r="3">
      <x:c r="A3" s="67"/>
      <x:c r="B3" s="68"/>
      <x:c r="C3" s="68"/>
      <x:c r="D3" s="68"/>
      <x:c r="E3" s="68"/>
      <x:c r="F3" s="68"/>
      <x:c r="G3" s="68"/>
      <x:c r="H3" s="69"/>
    </x:row>
    <x:row r="4">
      <x:c r="A4" s="70" t="str">
        <x:v>항목</x:v>
      </x:c>
      <x:c r="B4" s="13" t="str">
        <x:v>내용</x:v>
      </x:c>
      <x:c r="C4" s="68"/>
      <x:c r="D4" s="35" t="str">
        <x:v>메뉴 구성 요약</x:v>
      </x:c>
      <x:c r="E4" s="35"/>
      <x:c r="F4" s="35"/>
      <x:c r="G4" s="35"/>
      <x:c r="H4" s="71"/>
    </x:row>
    <x:row r="5">
      <x:c r="A5" s="72" t="str">
        <x:v>프로젝트명</x:v>
      </x:c>
      <x:c r="B5" s="29" t="str">
        <x:v>Living Abroad</x:v>
      </x:c>
      <x:c r="C5" s="68"/>
      <x:c r="D5" s="13" t="str">
        <x:v>구분</x:v>
      </x:c>
      <x:c r="E5" s="13" t="str">
        <x:v>값</x:v>
      </x:c>
      <x:c r="F5" s="68"/>
      <x:c r="G5" s="68"/>
      <x:c r="H5" s="69"/>
    </x:row>
    <x:row r="6">
      <x:c r="A6" s="72" t="str">
        <x:v>문서명</x:v>
      </x:c>
      <x:c r="B6" s="29" t="str">
        <x:v>메뉴 구조도</x:v>
      </x:c>
      <x:c r="C6" s="68"/>
      <x:c r="D6" s="22" t="str">
        <x:v>전체 메뉴 수</x:v>
      </x:c>
      <x:c r="E6" s="41" t="n">
        <x:f>COUNTA('메뉴목록'!A2:A100)</x:f>
        <x:v>10</x:v>
      </x:c>
      <x:c r="F6" s="68"/>
      <x:c r="G6" s="68"/>
      <x:c r="H6" s="69"/>
    </x:row>
    <x:row r="7">
      <x:c r="A7" s="72" t="str">
        <x:v>서비스 유형</x:v>
      </x:c>
      <x:c r="B7" s="29" t="str">
        <x:v>AI 기반 해외 취업·이주 가이드 플랫폼</x:v>
      </x:c>
      <x:c r="C7" s="68"/>
      <x:c r="D7" s="22" t="str">
        <x:v>1Depth 메뉴 수</x:v>
      </x:c>
      <x:c r="E7" s="41" t="n">
        <x:f>COUNTA('메뉴구조도'!A5:A10)</x:f>
        <x:v>6</x:v>
      </x:c>
      <x:c r="F7" s="68"/>
      <x:c r="G7" s="68"/>
      <x:c r="H7" s="69"/>
    </x:row>
    <x:row r="8">
      <x:c r="A8" s="72" t="str">
        <x:v>지원 채널</x:v>
      </x:c>
      <x:c r="B8" s="29" t="str">
        <x:v>Web</x:v>
      </x:c>
      <x:c r="C8" s="68"/>
      <x:c r="D8" s="22" t="str">
        <x:v>Header 노출 메뉴 수</x:v>
      </x:c>
      <x:c r="E8" s="41" t="n">
        <x:f>COUNTIF('메뉴목록'!I2:I100,"Y")</x:f>
        <x:v>4</x:v>
      </x:c>
      <x:c r="F8" s="68"/>
      <x:c r="G8" s="68"/>
      <x:c r="H8" s="69"/>
    </x:row>
    <x:row r="9">
      <x:c r="A9" s="72" t="str">
        <x:v>작성 기준일</x:v>
      </x:c>
      <x:c r="B9" s="29" t="str">
        <x:v>2026-07-17</x:v>
      </x:c>
      <x:c r="C9" s="68"/>
      <x:c r="D9" s="22" t="str">
        <x:v>로그인 필요 메뉴 수</x:v>
      </x:c>
      <x:c r="E9" s="41" t="n">
        <x:f>COUNTIF('메뉴목록'!H2:H100,"로그인 필요")</x:f>
        <x:v>7</x:v>
      </x:c>
      <x:c r="F9" s="68"/>
      <x:c r="G9" s="68"/>
      <x:c r="H9" s="69"/>
    </x:row>
    <x:row r="10">
      <x:c r="A10" s="67"/>
      <x:c r="B10" s="68"/>
      <x:c r="C10" s="68"/>
      <x:c r="D10" s="22" t="str">
        <x:v>공개 메뉴 수</x:v>
      </x:c>
      <x:c r="E10" s="41" t="n">
        <x:f>COUNTIF('메뉴목록'!H2:H100,"공개")</x:f>
        <x:v>3</x:v>
      </x:c>
      <x:c r="F10" s="68"/>
      <x:c r="G10" s="68"/>
      <x:c r="H10" s="69"/>
    </x:row>
    <x:row r="11">
      <x:c r="A11" s="67"/>
      <x:c r="B11" s="68"/>
      <x:c r="C11" s="68"/>
      <x:c r="D11" s="68"/>
      <x:c r="E11" s="68"/>
      <x:c r="F11" s="68"/>
      <x:c r="G11" s="68"/>
      <x:c r="H11" s="69"/>
    </x:row>
    <x:row r="12">
      <x:c r="A12" s="73" t="str">
        <x:v>주요 사용자 이동 흐름</x:v>
      </x:c>
      <x:c r="B12" s="35"/>
      <x:c r="C12" s="35"/>
      <x:c r="D12" s="35"/>
      <x:c r="E12" s="35"/>
      <x:c r="F12" s="35"/>
      <x:c r="G12" s="35"/>
      <x:c r="H12" s="71"/>
    </x:row>
    <x:row r="13">
      <x:c r="A13" s="74" t="str">
        <x:v>홈 → 로그인·회원가입 → AI 분석 1단계 → AI 분석 2단계 → 분석 진행 → 추천 결과 → AI 상담 / 내 결과</x:v>
      </x:c>
      <x:c r="B13" s="48"/>
      <x:c r="C13" s="48"/>
      <x:c r="D13" s="48"/>
      <x:c r="E13" s="48"/>
      <x:c r="F13" s="48"/>
      <x:c r="G13" s="48"/>
      <x:c r="H13" s="75"/>
    </x:row>
    <x:row r="14">
      <x:c r="A14" s="74"/>
      <x:c r="B14" s="48"/>
      <x:c r="C14" s="48"/>
      <x:c r="D14" s="48"/>
      <x:c r="E14" s="48"/>
      <x:c r="F14" s="48"/>
      <x:c r="G14" s="48"/>
      <x:c r="H14" s="75"/>
    </x:row>
    <x:row r="15">
      <x:c r="A15" s="67"/>
      <x:c r="B15" s="68"/>
      <x:c r="C15" s="68"/>
      <x:c r="D15" s="68"/>
      <x:c r="E15" s="68"/>
      <x:c r="F15" s="68"/>
      <x:c r="G15" s="68"/>
      <x:c r="H15" s="69"/>
    </x:row>
    <x:row r="16">
      <x:c r="A16" s="67"/>
      <x:c r="B16" s="68"/>
      <x:c r="C16" s="68"/>
      <x:c r="D16" s="68"/>
      <x:c r="E16" s="68"/>
      <x:c r="F16" s="68"/>
      <x:c r="G16" s="68"/>
      <x:c r="H16" s="69"/>
    </x:row>
    <x:row r="17">
      <x:c r="A17" s="73" t="str">
        <x:v>메뉴 설계 원칙</x:v>
      </x:c>
      <x:c r="B17" s="35"/>
      <x:c r="C17" s="35"/>
      <x:c r="D17" s="35"/>
      <x:c r="E17" s="35"/>
      <x:c r="F17" s="35"/>
      <x:c r="G17" s="35"/>
      <x:c r="H17" s="71"/>
    </x:row>
    <x:row r="18">
      <x:c r="A18" s="76" t="str">
        <x:v>1</x:v>
      </x:c>
      <x:c r="B18" s="29" t="str">
        <x:v>Header에는 홈, AI 분석, AI 상담, 내 결과만 노출한다.</x:v>
      </x:c>
      <x:c r="C18" s="29"/>
      <x:c r="D18" s="29"/>
      <x:c r="E18" s="29"/>
      <x:c r="F18" s="29"/>
      <x:c r="G18" s="29"/>
      <x:c r="H18" s="77"/>
    </x:row>
    <x:row r="19">
      <x:c r="A19" s="76" t="str">
        <x:v>2</x:v>
      </x:c>
      <x:c r="B19" s="29" t="str">
        <x:v>분석 2단계·로딩·결과 화면은 업무 흐름 안에서만 접근한다.</x:v>
      </x:c>
      <x:c r="C19" s="29"/>
      <x:c r="D19" s="29"/>
      <x:c r="E19" s="29"/>
      <x:c r="F19" s="29"/>
      <x:c r="G19" s="29"/>
      <x:c r="H19" s="77"/>
    </x:row>
    <x:row r="20">
      <x:c r="A20" s="76" t="str">
        <x:v>3</x:v>
      </x:c>
      <x:c r="B20" s="29" t="str">
        <x:v>로그인하지 않은 사용자가 보호 메뉴에 접근하면 로그인 화면으로 이동한다.</x:v>
      </x:c>
      <x:c r="C20" s="29"/>
      <x:c r="D20" s="29"/>
      <x:c r="E20" s="29"/>
      <x:c r="F20" s="29"/>
      <x:c r="G20" s="29"/>
      <x:c r="H20" s="77"/>
    </x:row>
    <x:row r="21">
      <x:c r="A21" s="76" t="str">
        <x:v>4</x:v>
      </x:c>
      <x:c r="B21" s="29" t="str">
        <x:v>분석 결과 상세는 URL의 analysisId와 로그인 사용자의 소유권을 검증한다.</x:v>
      </x:c>
      <x:c r="C21" s="29"/>
      <x:c r="D21" s="29"/>
      <x:c r="E21" s="29"/>
      <x:c r="F21" s="29"/>
      <x:c r="G21" s="29"/>
      <x:c r="H21" s="77"/>
    </x:row>
    <x:row r="22">
      <x:c r="A22" s="78" t="str">
        <x:v>5</x:v>
      </x:c>
      <x:c r="B22" s="79" t="str">
        <x:v>로그인과 회원가입은 동일 화면에서 탭으로 제공한다.</x:v>
      </x:c>
      <x:c r="C22" s="79"/>
      <x:c r="D22" s="79"/>
      <x:c r="E22" s="79"/>
      <x:c r="F22" s="79"/>
      <x:c r="G22" s="79"/>
      <x:c r="H22" s="80"/>
    </x:row>
  </x:sheetData>
  <x:mergeCells>
    <x:mergeCell ref="A1:H2"/>
    <x:mergeCell ref="D4:H4"/>
    <x:mergeCell ref="A12:H12"/>
    <x:mergeCell ref="A13:H14"/>
    <x:mergeCell ref="A17:H17"/>
    <x:mergeCell ref="B18:H18"/>
    <x:mergeCell ref="B19:H19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14" hidden="0" customWidth="1"/>
    <x:col min="5" max="5" width="30" hidden="0" customWidth="1"/>
    <x:col min="6" max="6" width="15" hidden="0" customWidth="1"/>
    <x:col min="7" max="7" width="13" hidden="0" customWidth="1"/>
    <x:col min="8" max="8" width="34" hidden="0" customWidth="1"/>
  </x:cols>
  <x:sheetData>
    <x:row r="1">
      <x:c r="A1" s="5" t="str">
        <x:v>Living Abroad 메뉴 구조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 ht="36" customHeight="1">
      <x:c r="A4" s="111" t="str">
        <x:v>1Depth 메뉴</x:v>
      </x:c>
      <x:c r="B4" s="112" t="str">
        <x:v>2Depth 메뉴</x:v>
      </x:c>
      <x:c r="C4" s="112" t="str">
        <x:v>3Depth / 상세</x:v>
      </x:c>
      <x:c r="D4" s="112" t="str">
        <x:v>화면 ID</x:v>
      </x:c>
      <x:c r="E4" s="112" t="str">
        <x:v>Route</x:v>
      </x:c>
      <x:c r="F4" s="112" t="str">
        <x:v>접근 권한</x:v>
      </x:c>
      <x:c r="G4" s="112" t="str">
        <x:v>Header 노출</x:v>
      </x:c>
      <x:c r="H4" s="113" t="str">
        <x:v>설명</x:v>
      </x:c>
    </x:row>
    <x:row r="5" ht="36" customHeight="1">
      <x:c r="A5" s="70" t="str">
        <x:v>홈</x:v>
      </x:c>
      <x:c r="B5" s="109" t="str">
        <x:v>-</x:v>
      </x:c>
      <x:c r="C5" s="109" t="str">
        <x:v>-</x:v>
      </x:c>
      <x:c r="D5" s="41" t="str">
        <x:v>HOME-001</x:v>
      </x:c>
      <x:c r="E5" s="41" t="str">
        <x:v>/</x:v>
      </x:c>
      <x:c r="F5" s="41" t="str">
        <x:v>공개</x:v>
      </x:c>
      <x:c r="G5" s="41" t="str">
        <x:v>Y</x:v>
      </x:c>
      <x:c r="H5" s="77" t="str">
        <x:v>서비스 첫 화면</x:v>
      </x:c>
    </x:row>
    <x:row r="6" ht="36" customHeight="1">
      <x:c r="A6" s="70" t="str">
        <x:v>AI 분석</x:v>
      </x:c>
      <x:c r="B6" s="109" t="str">
        <x:v>기본 정보 입력</x:v>
      </x:c>
      <x:c r="C6" s="109" t="str">
        <x:v>-</x:v>
      </x:c>
      <x:c r="D6" s="41" t="str">
        <x:v>ANA-001</x:v>
      </x:c>
      <x:c r="E6" s="41" t="str">
        <x:v>/analysis/step-1</x:v>
      </x:c>
      <x:c r="F6" s="41" t="str">
        <x:v>로그인 필요</x:v>
      </x:c>
      <x:c r="G6" s="41" t="str">
        <x:v>Y</x:v>
      </x:c>
      <x:c r="H6" s="77" t="str">
        <x:v>분석 시작 화면</x:v>
      </x:c>
    </x:row>
    <x:row r="7" ht="36" customHeight="1">
      <x:c r="A7" s="114" t="str"/>
      <x:c r="B7" s="109" t="str">
        <x:v>상세 정보 입력</x:v>
      </x:c>
      <x:c r="C7" s="109" t="str">
        <x:v>-</x:v>
      </x:c>
      <x:c r="D7" s="41" t="str">
        <x:v>ANA-002</x:v>
      </x:c>
      <x:c r="E7" s="41" t="str">
        <x:v>/analysis/step-2</x:v>
      </x:c>
      <x:c r="F7" s="41" t="str">
        <x:v>로그인 필요</x:v>
      </x:c>
      <x:c r="G7" s="41" t="str">
        <x:v>N</x:v>
      </x:c>
      <x:c r="H7" s="77" t="str">
        <x:v>분석 입력 2단계</x:v>
      </x:c>
    </x:row>
    <x:row r="8" ht="36" customHeight="1">
      <x:c r="A8" s="114" t="str"/>
      <x:c r="B8" s="109" t="str">
        <x:v>분석 진행</x:v>
      </x:c>
      <x:c r="C8" s="109" t="str">
        <x:v>-</x:v>
      </x:c>
      <x:c r="D8" s="41" t="str">
        <x:v>ANA-003</x:v>
      </x:c>
      <x:c r="E8" s="41" t="str">
        <x:v>/analysis/loading</x:v>
      </x:c>
      <x:c r="F8" s="41" t="str">
        <x:v>로그인 필요</x:v>
      </x:c>
      <x:c r="G8" s="41" t="str">
        <x:v>N</x:v>
      </x:c>
      <x:c r="H8" s="77" t="str">
        <x:v>분석 상태 표시</x:v>
      </x:c>
    </x:row>
    <x:row r="9" ht="36" customHeight="1">
      <x:c r="A9" s="114" t="str"/>
      <x:c r="B9" s="109" t="str">
        <x:v>추천 결과</x:v>
      </x:c>
      <x:c r="C9" s="109" t="str">
        <x:v>결과 상세</x:v>
      </x:c>
      <x:c r="D9" s="41" t="str">
        <x:v>RES-001</x:v>
      </x:c>
      <x:c r="E9" s="41" t="str">
        <x:v>/results/{id}</x:v>
      </x:c>
      <x:c r="F9" s="41" t="str">
        <x:v>로그인 필요</x:v>
      </x:c>
      <x:c r="G9" s="41" t="str">
        <x:v>N</x:v>
      </x:c>
      <x:c r="H9" s="77" t="str">
        <x:v>국가·비자 추천 결과</x:v>
      </x:c>
    </x:row>
    <x:row r="10" ht="36" customHeight="1">
      <x:c r="A10" s="70" t="str">
        <x:v>AI 상담</x:v>
      </x:c>
      <x:c r="B10" s="109" t="str">
        <x:v>-</x:v>
      </x:c>
      <x:c r="C10" s="109" t="str">
        <x:v>-</x:v>
      </x:c>
      <x:c r="D10" s="41" t="str">
        <x:v>CHAT-001</x:v>
      </x:c>
      <x:c r="E10" s="41" t="str">
        <x:v>/chat</x:v>
      </x:c>
      <x:c r="F10" s="41" t="str">
        <x:v>로그인 필요</x:v>
      </x:c>
      <x:c r="G10" s="41" t="str">
        <x:v>Y</x:v>
      </x:c>
      <x:c r="H10" s="77" t="str">
        <x:v>공식 문서 기반 상담</x:v>
      </x:c>
    </x:row>
    <x:row r="11" ht="36" customHeight="1">
      <x:c r="A11" s="70" t="str">
        <x:v>마이페이지</x:v>
      </x:c>
      <x:c r="B11" s="109" t="str">
        <x:v>내 결과</x:v>
      </x:c>
      <x:c r="C11" s="109" t="str">
        <x:v>-</x:v>
      </x:c>
      <x:c r="D11" s="41" t="str">
        <x:v>MY-001</x:v>
      </x:c>
      <x:c r="E11" s="41" t="str">
        <x:v>/my-results</x:v>
      </x:c>
      <x:c r="F11" s="41" t="str">
        <x:v>로그인 필요</x:v>
      </x:c>
      <x:c r="G11" s="41" t="str">
        <x:v>Y</x:v>
      </x:c>
      <x:c r="H11" s="77" t="str">
        <x:v>분석 이력 조회</x:v>
      </x:c>
    </x:row>
    <x:row r="12" ht="36" customHeight="1">
      <x:c r="A12" s="114" t="str"/>
      <x:c r="B12" s="109" t="str">
        <x:v>프로필 수정</x:v>
      </x:c>
      <x:c r="C12" s="109" t="str">
        <x:v>-</x:v>
      </x:c>
      <x:c r="D12" s="41" t="str">
        <x:v>ANA-001</x:v>
      </x:c>
      <x:c r="E12" s="41" t="str">
        <x:v>/analysis/step-1?mode=edit</x:v>
      </x:c>
      <x:c r="F12" s="41" t="str">
        <x:v>로그인 필요</x:v>
      </x:c>
      <x:c r="G12" s="41" t="str">
        <x:v>N</x:v>
      </x:c>
      <x:c r="H12" s="77" t="str">
        <x:v>프로필 수정 모드</x:v>
      </x:c>
    </x:row>
    <x:row r="13" ht="36" customHeight="1">
      <x:c r="A13" s="70" t="str">
        <x:v>인증</x:v>
      </x:c>
      <x:c r="B13" s="109" t="str">
        <x:v>로그인</x:v>
      </x:c>
      <x:c r="C13" s="109" t="str">
        <x:v>-</x:v>
      </x:c>
      <x:c r="D13" s="41" t="str">
        <x:v>AUTH-001</x:v>
      </x:c>
      <x:c r="E13" s="41" t="str">
        <x:v>/auth?tab=login</x:v>
      </x:c>
      <x:c r="F13" s="41" t="str">
        <x:v>공개</x:v>
      </x:c>
      <x:c r="G13" s="41" t="str">
        <x:v>조건부</x:v>
      </x:c>
      <x:c r="H13" s="77" t="str">
        <x:v>비로그인 시 Header 노출</x:v>
      </x:c>
    </x:row>
    <x:row r="14" ht="36" customHeight="1">
      <x:c r="A14" s="115" t="str"/>
      <x:c r="B14" s="116" t="str">
        <x:v>회원가입</x:v>
      </x:c>
      <x:c r="C14" s="116" t="str">
        <x:v>-</x:v>
      </x:c>
      <x:c r="D14" s="117" t="str">
        <x:v>AUTH-001</x:v>
      </x:c>
      <x:c r="E14" s="117" t="str">
        <x:v>/auth?tab=signup</x:v>
      </x:c>
      <x:c r="F14" s="117" t="str">
        <x:v>공개</x:v>
      </x:c>
      <x:c r="G14" s="117" t="str">
        <x:v>조건부</x:v>
      </x:c>
      <x:c r="H14" s="80" t="str">
        <x:v>인증 화면 탭</x:v>
      </x:c>
    </x:row>
  </x:sheetData>
  <x:mergeCells>
    <x:mergeCell ref="A1:H2"/>
  </x:mergeCells>
  <x:conditionalFormatting sqref="F5:F14">
    <x:cfRule type="expression" dxfId="0" priority="1">
      <x:formula>F5="공개"</x:formula>
    </x:cfRule>
    <x:cfRule type="expression" dxfId="1" priority="2">
      <x:formula>F5="로그인 필요"</x:formula>
    </x:cfRule>
  </x:conditionalFormatting>
  <x:conditionalFormatting sqref="G5:G14">
    <x:cfRule type="expression" dxfId="2" priority="3">
      <x:formula>G5="Y"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e67eb6f9f343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20" hidden="0" customWidth="1"/>
    <x:col min="5" max="5" width="14" hidden="0" customWidth="1"/>
    <x:col min="6" max="6" width="32" hidden="0" customWidth="1"/>
    <x:col min="7" max="7" width="20" hidden="0" customWidth="1"/>
    <x:col min="8" max="8" width="15" hidden="0" customWidth="1"/>
    <x:col min="9" max="9" width="13" hidden="0" customWidth="1"/>
    <x:col min="10" max="10" width="11" hidden="0" customWidth="1"/>
    <x:col min="11" max="11" width="42" hidden="0" customWidth="1"/>
    <x:col min="12" max="12" width="13" hidden="0" customWidth="1"/>
  </x:cols>
  <x:sheetData>
    <x:row r="1" ht="38" customHeight="1">
      <x:c r="A1" s="111" t="str">
        <x:v>메뉴 ID</x:v>
      </x:c>
      <x:c r="B1" s="112" t="str">
        <x:v>1Depth</x:v>
      </x:c>
      <x:c r="C1" s="112" t="str">
        <x:v>2Depth</x:v>
      </x:c>
      <x:c r="D1" s="112" t="str">
        <x:v>3Depth</x:v>
      </x:c>
      <x:c r="E1" s="112" t="str">
        <x:v>화면 ID</x:v>
      </x:c>
      <x:c r="F1" s="112" t="str">
        <x:v>Route</x:v>
      </x:c>
      <x:c r="G1" s="112" t="str">
        <x:v>메뉴 표시명</x:v>
      </x:c>
      <x:c r="H1" s="112" t="str">
        <x:v>접근 권한</x:v>
      </x:c>
      <x:c r="I1" s="112" t="str">
        <x:v>Header 노출</x:v>
      </x:c>
      <x:c r="J1" s="112" t="str">
        <x:v>정렬 순서</x:v>
      </x:c>
      <x:c r="K1" s="112" t="str">
        <x:v>기능 설명</x:v>
      </x:c>
      <x:c r="L1" s="113" t="str">
        <x:v>상태</x:v>
      </x:c>
    </x:row>
    <x:row r="2" ht="38" customHeight="1">
      <x:c r="A2" s="125" t="str">
        <x:v>M001</x:v>
      </x:c>
      <x:c r="B2" s="29" t="str">
        <x:v>홈</x:v>
      </x:c>
      <x:c r="C2" s="29" t="str">
        <x:v>-</x:v>
      </x:c>
      <x:c r="D2" s="29" t="str">
        <x:v>-</x:v>
      </x:c>
      <x:c r="E2" s="41" t="str">
        <x:v>HOME-001</x:v>
      </x:c>
      <x:c r="F2" s="41" t="str">
        <x:v>/</x:v>
      </x:c>
      <x:c r="G2" s="41" t="str">
        <x:v>홈</x:v>
      </x:c>
      <x:c r="H2" s="41" t="str">
        <x:v>공개</x:v>
      </x:c>
      <x:c r="I2" s="41" t="str">
        <x:v>Y</x:v>
      </x:c>
      <x:c r="J2" s="41" t="n">
        <x:v>1</x:v>
      </x:c>
      <x:c r="K2" s="29" t="str">
        <x:v>서비스 소개와 AI 분석 시작점을 제공한다.</x:v>
      </x:c>
      <x:c r="L2" s="77" t="str">
        <x:v>확정</x:v>
      </x:c>
    </x:row>
    <x:row r="3" ht="38" customHeight="1">
      <x:c r="A3" s="125" t="str">
        <x:v>M002</x:v>
      </x:c>
      <x:c r="B3" s="29" t="str">
        <x:v>AI 분석</x:v>
      </x:c>
      <x:c r="C3" s="29" t="str">
        <x:v>기본 정보 입력</x:v>
      </x:c>
      <x:c r="D3" s="29" t="str">
        <x:v>-</x:v>
      </x:c>
      <x:c r="E3" s="41" t="str">
        <x:v>ANA-001</x:v>
      </x:c>
      <x:c r="F3" s="41" t="str">
        <x:v>/analysis/step-1</x:v>
      </x:c>
      <x:c r="G3" s="41" t="str">
        <x:v>AI 분석</x:v>
      </x:c>
      <x:c r="H3" s="41" t="str">
        <x:v>로그인 필요</x:v>
      </x:c>
      <x:c r="I3" s="41" t="str">
        <x:v>Y</x:v>
      </x:c>
      <x:c r="J3" s="41" t="n">
        <x:v>2</x:v>
      </x:c>
      <x:c r="K3" s="29" t="str">
        <x:v>나이, 학력, 전공, 직업, 경력 연수를 입력한다.</x:v>
      </x:c>
      <x:c r="L3" s="77" t="str">
        <x:v>확정</x:v>
      </x:c>
    </x:row>
    <x:row r="4" ht="38" customHeight="1">
      <x:c r="A4" s="125" t="str">
        <x:v>M003</x:v>
      </x:c>
      <x:c r="B4" s="29" t="str">
        <x:v>AI 분석</x:v>
      </x:c>
      <x:c r="C4" s="29" t="str">
        <x:v>상세 정보 입력</x:v>
      </x:c>
      <x:c r="D4" s="29" t="str">
        <x:v>-</x:v>
      </x:c>
      <x:c r="E4" s="41" t="str">
        <x:v>ANA-002</x:v>
      </x:c>
      <x:c r="F4" s="41" t="str">
        <x:v>/analysis/step-2</x:v>
      </x:c>
      <x:c r="G4" s="41" t="str">
        <x:v>상세 정보 입력</x:v>
      </x:c>
      <x:c r="H4" s="41" t="str">
        <x:v>로그인 필요</x:v>
      </x:c>
      <x:c r="I4" s="41" t="str">
        <x:v>N</x:v>
      </x:c>
      <x:c r="J4" s="41" t="n">
        <x:v>3</x:v>
      </x:c>
      <x:c r="K4" s="29" t="str">
        <x:v>언어점수, 자금, 선호 국가, 경력기술서를 입력한다.</x:v>
      </x:c>
      <x:c r="L4" s="77" t="str">
        <x:v>확정</x:v>
      </x:c>
    </x:row>
    <x:row r="5" ht="38" customHeight="1">
      <x:c r="A5" s="125" t="str">
        <x:v>M004</x:v>
      </x:c>
      <x:c r="B5" s="29" t="str">
        <x:v>AI 분석</x:v>
      </x:c>
      <x:c r="C5" s="29" t="str">
        <x:v>분석 진행</x:v>
      </x:c>
      <x:c r="D5" s="29" t="str">
        <x:v>-</x:v>
      </x:c>
      <x:c r="E5" s="41" t="str">
        <x:v>ANA-003</x:v>
      </x:c>
      <x:c r="F5" s="41" t="str">
        <x:v>/analysis/loading</x:v>
      </x:c>
      <x:c r="G5" s="41" t="str">
        <x:v>분석 진행</x:v>
      </x:c>
      <x:c r="H5" s="41" t="str">
        <x:v>로그인 필요</x:v>
      </x:c>
      <x:c r="I5" s="41" t="str">
        <x:v>N</x:v>
      </x:c>
      <x:c r="J5" s="41" t="n">
        <x:v>4</x:v>
      </x:c>
      <x:c r="K5" s="29" t="str">
        <x:v>AI 분석 진행 상태와 오류 재시도를 제공한다.</x:v>
      </x:c>
      <x:c r="L5" s="77" t="str">
        <x:v>확정</x:v>
      </x:c>
    </x:row>
    <x:row r="6" ht="38" customHeight="1">
      <x:c r="A6" s="125" t="str">
        <x:v>M005</x:v>
      </x:c>
      <x:c r="B6" s="29" t="str">
        <x:v>AI 분석</x:v>
      </x:c>
      <x:c r="C6" s="29" t="str">
        <x:v>추천 결과</x:v>
      </x:c>
      <x:c r="D6" s="29" t="str">
        <x:v>결과 상세</x:v>
      </x:c>
      <x:c r="E6" s="41" t="str">
        <x:v>RES-001</x:v>
      </x:c>
      <x:c r="F6" s="41" t="str">
        <x:v>/results/{id}</x:v>
      </x:c>
      <x:c r="G6" s="41" t="str">
        <x:v>추천 결과</x:v>
      </x:c>
      <x:c r="H6" s="41" t="str">
        <x:v>로그인 필요</x:v>
      </x:c>
      <x:c r="I6" s="41" t="str">
        <x:v>N</x:v>
      </x:c>
      <x:c r="J6" s="41" t="n">
        <x:v>5</x:v>
      </x:c>
      <x:c r="K6" s="29" t="str">
        <x:v>캐나다·호주·영국 추천 순위와 점수 근거를 표시한다.</x:v>
      </x:c>
      <x:c r="L6" s="77" t="str">
        <x:v>확정</x:v>
      </x:c>
    </x:row>
    <x:row r="7" ht="38" customHeight="1">
      <x:c r="A7" s="125" t="str">
        <x:v>M006</x:v>
      </x:c>
      <x:c r="B7" s="29" t="str">
        <x:v>AI 상담</x:v>
      </x:c>
      <x:c r="C7" s="29" t="str">
        <x:v>-</x:v>
      </x:c>
      <x:c r="D7" s="29" t="str">
        <x:v>-</x:v>
      </x:c>
      <x:c r="E7" s="41" t="str">
        <x:v>CHAT-001</x:v>
      </x:c>
      <x:c r="F7" s="41" t="str">
        <x:v>/chat</x:v>
      </x:c>
      <x:c r="G7" s="41" t="str">
        <x:v>AI 상담</x:v>
      </x:c>
      <x:c r="H7" s="41" t="str">
        <x:v>로그인 필요</x:v>
      </x:c>
      <x:c r="I7" s="41" t="str">
        <x:v>Y</x:v>
      </x:c>
      <x:c r="J7" s="41" t="n">
        <x:v>3</x:v>
      </x:c>
      <x:c r="K7" s="29" t="str">
        <x:v>공식 정책 문서를 근거로 비자 상담을 제공한다.</x:v>
      </x:c>
      <x:c r="L7" s="77" t="str">
        <x:v>확정</x:v>
      </x:c>
    </x:row>
    <x:row r="8" ht="38" customHeight="1">
      <x:c r="A8" s="125" t="str">
        <x:v>M007</x:v>
      </x:c>
      <x:c r="B8" s="29" t="str">
        <x:v>마이페이지</x:v>
      </x:c>
      <x:c r="C8" s="29" t="str">
        <x:v>내 결과</x:v>
      </x:c>
      <x:c r="D8" s="29" t="str">
        <x:v>-</x:v>
      </x:c>
      <x:c r="E8" s="41" t="str">
        <x:v>MY-001</x:v>
      </x:c>
      <x:c r="F8" s="41" t="str">
        <x:v>/my-results</x:v>
      </x:c>
      <x:c r="G8" s="41" t="str">
        <x:v>내 결과</x:v>
      </x:c>
      <x:c r="H8" s="41" t="str">
        <x:v>로그인 필요</x:v>
      </x:c>
      <x:c r="I8" s="41" t="str">
        <x:v>Y</x:v>
      </x:c>
      <x:c r="J8" s="41" t="n">
        <x:v>4</x:v>
      </x:c>
      <x:c r="K8" s="29" t="str">
        <x:v>과거 분석 이력과 결과 재조회를 제공한다.</x:v>
      </x:c>
      <x:c r="L8" s="77" t="str">
        <x:v>확정</x:v>
      </x:c>
    </x:row>
    <x:row r="9" ht="38" customHeight="1">
      <x:c r="A9" s="125" t="str">
        <x:v>M008</x:v>
      </x:c>
      <x:c r="B9" s="29" t="str">
        <x:v>마이페이지</x:v>
      </x:c>
      <x:c r="C9" s="29" t="str">
        <x:v>프로필 수정</x:v>
      </x:c>
      <x:c r="D9" s="29" t="str">
        <x:v>-</x:v>
      </x:c>
      <x:c r="E9" s="41" t="str">
        <x:v>ANA-001</x:v>
      </x:c>
      <x:c r="F9" s="41" t="str">
        <x:v>/analysis/step-1?mode=edit</x:v>
      </x:c>
      <x:c r="G9" s="41" t="str">
        <x:v>프로필 수정</x:v>
      </x:c>
      <x:c r="H9" s="41" t="str">
        <x:v>로그인 필요</x:v>
      </x:c>
      <x:c r="I9" s="41" t="str">
        <x:v>N</x:v>
      </x:c>
      <x:c r="J9" s="41" t="n">
        <x:v>5</x:v>
      </x:c>
      <x:c r="K9" s="29" t="str">
        <x:v>저장된 사용자 프로필을 수정한다.</x:v>
      </x:c>
      <x:c r="L9" s="77" t="str">
        <x:v>검토</x:v>
      </x:c>
    </x:row>
    <x:row r="10" ht="38" customHeight="1">
      <x:c r="A10" s="125" t="str">
        <x:v>M009</x:v>
      </x:c>
      <x:c r="B10" s="29" t="str">
        <x:v>인증</x:v>
      </x:c>
      <x:c r="C10" s="29" t="str">
        <x:v>로그인</x:v>
      </x:c>
      <x:c r="D10" s="29" t="str">
        <x:v>-</x:v>
      </x:c>
      <x:c r="E10" s="41" t="str">
        <x:v>AUTH-001</x:v>
      </x:c>
      <x:c r="F10" s="41" t="str">
        <x:v>/auth?tab=login</x:v>
      </x:c>
      <x:c r="G10" s="41" t="str">
        <x:v>로그인</x:v>
      </x:c>
      <x:c r="H10" s="41" t="str">
        <x:v>공개</x:v>
      </x:c>
      <x:c r="I10" s="41" t="str">
        <x:v>조건부</x:v>
      </x:c>
      <x:c r="J10" s="41" t="n">
        <x:v>6</x:v>
      </x:c>
      <x:c r="K10" s="29" t="str">
        <x:v>이메일과 비밀번호를 이용해 로그인한다.</x:v>
      </x:c>
      <x:c r="L10" s="77" t="str">
        <x:v>확정</x:v>
      </x:c>
    </x:row>
    <x:row r="11" ht="38" customHeight="1">
      <x:c r="A11" s="126" t="str">
        <x:v>M010</x:v>
      </x:c>
      <x:c r="B11" s="79" t="str">
        <x:v>인증</x:v>
      </x:c>
      <x:c r="C11" s="79" t="str">
        <x:v>회원가입</x:v>
      </x:c>
      <x:c r="D11" s="79" t="str">
        <x:v>-</x:v>
      </x:c>
      <x:c r="E11" s="117" t="str">
        <x:v>AUTH-001</x:v>
      </x:c>
      <x:c r="F11" s="117" t="str">
        <x:v>/auth?tab=signup</x:v>
      </x:c>
      <x:c r="G11" s="117" t="str">
        <x:v>회원가입</x:v>
      </x:c>
      <x:c r="H11" s="117" t="str">
        <x:v>공개</x:v>
      </x:c>
      <x:c r="I11" s="117" t="str">
        <x:v>조건부</x:v>
      </x:c>
      <x:c r="J11" s="117" t="n">
        <x:v>7</x:v>
      </x:c>
      <x:c r="K11" s="79" t="str">
        <x:v>신규 사용자 계정을 생성한다.</x:v>
      </x:c>
      <x:c r="L11" s="80" t="str">
        <x:v>확정</x:v>
      </x:c>
    </x:row>
  </x:sheetData>
  <x:conditionalFormatting sqref="H2:H100">
    <x:cfRule type="expression" dxfId="3" priority="1">
      <x:formula>H2="공개"</x:formula>
    </x:cfRule>
    <x:cfRule type="expression" dxfId="4" priority="2">
      <x:formula>H2="로그인 필요"</x:formula>
    </x:cfRule>
  </x:conditionalFormatting>
  <x:conditionalFormatting sqref="L2:L100">
    <x:cfRule type="expression" dxfId="5" priority="3">
      <x:formula>L2="확정"</x:formula>
    </x:cfRule>
  </x:conditionalFormatting>
  <x:dataValidations count="3">
    <x:dataValidation type="list" sqref="H2:H100">
      <x:formula1>"공개,로그인 필요,관리자"</x:formula1>
    </x:dataValidation>
    <x:dataValidation type="list" sqref="I2:I100">
      <x:formula1>"Y,N,조건부"</x:formula1>
    </x:dataValidation>
    <x:dataValidation type="list" sqref="L2:L100">
      <x:formula1>"초안,검토,확정,개발 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872365c15d4ac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20" hidden="0" customWidth="1"/>
    <x:col min="5" max="5" width="18" hidden="0" customWidth="1"/>
    <x:col min="6" max="6" width="30" hidden="0" customWidth="1"/>
    <x:col min="7" max="7" width="30" hidden="0" customWidth="1"/>
  </x:cols>
  <x:sheetData>
    <x:row r="1" ht="38" customHeight="1">
      <x:c r="A1" s="111" t="str">
        <x:v>메뉴 ID</x:v>
      </x:c>
      <x:c r="B1" s="112" t="str">
        <x:v>메뉴명</x:v>
      </x:c>
      <x:c r="C1" s="112" t="str">
        <x:v>비로그인 사용자</x:v>
      </x:c>
      <x:c r="D1" s="112" t="str">
        <x:v>로그인 사용자</x:v>
      </x:c>
      <x:c r="E1" s="112" t="str">
        <x:v>직접 URL 접근</x:v>
      </x:c>
      <x:c r="F1" s="112" t="str">
        <x:v>접근 실패 처리</x:v>
      </x:c>
      <x:c r="G1" s="113" t="str">
        <x:v>비고</x:v>
      </x:c>
    </x:row>
    <x:row r="2" ht="38" customHeight="1">
      <x:c r="A2" s="125" t="str">
        <x:v>M001</x:v>
      </x:c>
      <x:c r="B2" s="41" t="str">
        <x:v>홈</x:v>
      </x:c>
      <x:c r="C2" s="41" t="str">
        <x:v>접근 가능</x:v>
      </x:c>
      <x:c r="D2" s="41" t="str">
        <x:v>접근 가능</x:v>
      </x:c>
      <x:c r="E2" s="41" t="str">
        <x:v>가능</x:v>
      </x:c>
      <x:c r="F2" s="29" t="str">
        <x:v>-</x:v>
      </x:c>
      <x:c r="G2" s="77" t="str">
        <x:v>공개 화면</x:v>
      </x:c>
    </x:row>
    <x:row r="3" ht="38" customHeight="1">
      <x:c r="A3" s="125" t="str">
        <x:v>M002</x:v>
      </x:c>
      <x:c r="B3" s="41" t="str">
        <x:v>AI 분석</x:v>
      </x:c>
      <x:c r="C3" s="41" t="str">
        <x:v>로그인 이동</x:v>
      </x:c>
      <x:c r="D3" s="41" t="str">
        <x:v>접근 가능</x:v>
      </x:c>
      <x:c r="E3" s="41" t="str">
        <x:v>인증 필요</x:v>
      </x:c>
      <x:c r="F3" s="29" t="str">
        <x:v>/auth 이동</x:v>
      </x:c>
      <x:c r="G3" s="77" t="str">
        <x:v>Header 메뉴</x:v>
      </x:c>
    </x:row>
    <x:row r="4" ht="38" customHeight="1">
      <x:c r="A4" s="125" t="str">
        <x:v>M003</x:v>
      </x:c>
      <x:c r="B4" s="41" t="str">
        <x:v>상세 정보 입력</x:v>
      </x:c>
      <x:c r="C4" s="41" t="str">
        <x:v>로그인 이동</x:v>
      </x:c>
      <x:c r="D4" s="41" t="str">
        <x:v>이전 단계 완료 시 가능</x:v>
      </x:c>
      <x:c r="E4" s="41" t="str">
        <x:v>단계 검증</x:v>
      </x:c>
      <x:c r="F4" s="29" t="str">
        <x:v>/analysis/step-1 이동</x:v>
      </x:c>
      <x:c r="G4" s="77" t="str">
        <x:v>업무 흐름 전용</x:v>
      </x:c>
    </x:row>
    <x:row r="5" ht="38" customHeight="1">
      <x:c r="A5" s="125" t="str">
        <x:v>M004</x:v>
      </x:c>
      <x:c r="B5" s="41" t="str">
        <x:v>분석 진행</x:v>
      </x:c>
      <x:c r="C5" s="41" t="str">
        <x:v>로그인 이동</x:v>
      </x:c>
      <x:c r="D5" s="41" t="str">
        <x:v>analysisId 존재 시 가능</x:v>
      </x:c>
      <x:c r="E5" s="41" t="str">
        <x:v>상태 검증</x:v>
      </x:c>
      <x:c r="F5" s="29" t="str">
        <x:v>/analysis/step-2 이동</x:v>
      </x:c>
      <x:c r="G5" s="77" t="str">
        <x:v>업무 흐름 전용</x:v>
      </x:c>
    </x:row>
    <x:row r="6" ht="38" customHeight="1">
      <x:c r="A6" s="125" t="str">
        <x:v>M005</x:v>
      </x:c>
      <x:c r="B6" s="41" t="str">
        <x:v>추천 결과</x:v>
      </x:c>
      <x:c r="C6" s="41" t="str">
        <x:v>로그인 이동</x:v>
      </x:c>
      <x:c r="D6" s="41" t="str">
        <x:v>본인 결과만 가능</x:v>
      </x:c>
      <x:c r="E6" s="41" t="str">
        <x:v>소유권 검증</x:v>
      </x:c>
      <x:c r="F6" s="29" t="str">
        <x:v>403 또는 /my-results 이동</x:v>
      </x:c>
      <x:c r="G6" s="77" t="str">
        <x:v>업무 흐름 전용</x:v>
      </x:c>
    </x:row>
    <x:row r="7" ht="38" customHeight="1">
      <x:c r="A7" s="125" t="str">
        <x:v>M006</x:v>
      </x:c>
      <x:c r="B7" s="41" t="str">
        <x:v>AI 상담</x:v>
      </x:c>
      <x:c r="C7" s="41" t="str">
        <x:v>로그인 이동</x:v>
      </x:c>
      <x:c r="D7" s="41" t="str">
        <x:v>접근 가능</x:v>
      </x:c>
      <x:c r="E7" s="41" t="str">
        <x:v>인증 필요</x:v>
      </x:c>
      <x:c r="F7" s="29" t="str">
        <x:v>/auth 이동</x:v>
      </x:c>
      <x:c r="G7" s="77" t="str">
        <x:v>Header 메뉴</x:v>
      </x:c>
    </x:row>
    <x:row r="8" ht="38" customHeight="1">
      <x:c r="A8" s="125" t="str">
        <x:v>M007</x:v>
      </x:c>
      <x:c r="B8" s="41" t="str">
        <x:v>내 결과</x:v>
      </x:c>
      <x:c r="C8" s="41" t="str">
        <x:v>로그인 이동</x:v>
      </x:c>
      <x:c r="D8" s="41" t="str">
        <x:v>접근 가능</x:v>
      </x:c>
      <x:c r="E8" s="41" t="str">
        <x:v>인증 필요</x:v>
      </x:c>
      <x:c r="F8" s="29" t="str">
        <x:v>/auth 이동</x:v>
      </x:c>
      <x:c r="G8" s="77" t="str">
        <x:v>Header 메뉴</x:v>
      </x:c>
    </x:row>
    <x:row r="9" ht="38" customHeight="1">
      <x:c r="A9" s="125" t="str">
        <x:v>M008</x:v>
      </x:c>
      <x:c r="B9" s="41" t="str">
        <x:v>프로필 수정</x:v>
      </x:c>
      <x:c r="C9" s="41" t="str">
        <x:v>로그인 이동</x:v>
      </x:c>
      <x:c r="D9" s="41" t="str">
        <x:v>접근 가능</x:v>
      </x:c>
      <x:c r="E9" s="41" t="str">
        <x:v>인증 필요</x:v>
      </x:c>
      <x:c r="F9" s="29" t="str">
        <x:v>/auth 이동</x:v>
      </x:c>
      <x:c r="G9" s="77" t="str">
        <x:v>마이페이지 하위</x:v>
      </x:c>
    </x:row>
    <x:row r="10" ht="38" customHeight="1">
      <x:c r="A10" s="125" t="str">
        <x:v>M009</x:v>
      </x:c>
      <x:c r="B10" s="41" t="str">
        <x:v>로그인</x:v>
      </x:c>
      <x:c r="C10" s="41" t="str">
        <x:v>접근 가능</x:v>
      </x:c>
      <x:c r="D10" s="41" t="str">
        <x:v>홈 이동</x:v>
      </x:c>
      <x:c r="E10" s="41" t="str">
        <x:v>가능</x:v>
      </x:c>
      <x:c r="F10" s="29" t="str">
        <x:v>/ 이동</x:v>
      </x:c>
      <x:c r="G10" s="77" t="str">
        <x:v>로그인 사용자에게 숨김</x:v>
      </x:c>
    </x:row>
    <x:row r="11" ht="38" customHeight="1">
      <x:c r="A11" s="126" t="str">
        <x:v>M010</x:v>
      </x:c>
      <x:c r="B11" s="117" t="str">
        <x:v>회원가입</x:v>
      </x:c>
      <x:c r="C11" s="117" t="str">
        <x:v>접근 가능</x:v>
      </x:c>
      <x:c r="D11" s="117" t="str">
        <x:v>홈 이동</x:v>
      </x:c>
      <x:c r="E11" s="117" t="str">
        <x:v>가능</x:v>
      </x:c>
      <x:c r="F11" s="79" t="str">
        <x:v>/ 이동</x:v>
      </x:c>
      <x:c r="G11" s="80" t="str">
        <x:v>로그인 사용자에게 숨김</x:v>
      </x:c>
    </x:row>
  </x:sheetData>
  <x:conditionalFormatting sqref="C2:D100">
    <x:cfRule type="expression" dxfId="6" priority="1">
      <x:formula>C2="접근 가능"</x:formula>
    </x:cfRule>
    <x:cfRule type="expression" dxfId="7" priority="2">
      <x:formula>C2="로그인 이동"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7dd4bea72049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0" hidden="0" customWidth="1"/>
    <x:col min="5" max="5" width="15" hidden="0" customWidth="1"/>
    <x:col min="6" max="6" width="13" hidden="0" customWidth="1"/>
    <x:col min="7" max="7" width="14" hidden="0" customWidth="1"/>
    <x:col min="8" max="8" width="42" hidden="0" customWidth="1"/>
    <x:col min="9" max="9" width="34" hidden="0" customWidth="1"/>
    <x:col min="10" max="10" width="16" hidden="0" customWidth="1"/>
  </x:cols>
  <x:sheetData>
    <x:row r="1" ht="40" customHeight="1">
      <x:c r="A1" s="111" t="str">
        <x:v>화면 ID</x:v>
      </x:c>
      <x:c r="B1" s="112" t="str">
        <x:v>화면명</x:v>
      </x:c>
      <x:c r="C1" s="112" t="str">
        <x:v>Route</x:v>
      </x:c>
      <x:c r="D1" s="112" t="str">
        <x:v>Vue View</x:v>
      </x:c>
      <x:c r="E1" s="112" t="str">
        <x:v>접근 권한</x:v>
      </x:c>
      <x:c r="F1" s="112" t="str">
        <x:v>Header 메뉴</x:v>
      </x:c>
      <x:c r="G1" s="112" t="str">
        <x:v>화면 유형</x:v>
      </x:c>
      <x:c r="H1" s="112" t="str">
        <x:v>주요 기능</x:v>
      </x:c>
      <x:c r="I1" s="112" t="str">
        <x:v>연동 API</x:v>
      </x:c>
      <x:c r="J1" s="113" t="str">
        <x:v>Route Name</x:v>
      </x:c>
    </x:row>
    <x:row r="2" ht="40" customHeight="1">
      <x:c r="A2" s="125" t="str">
        <x:v>HOME-001</x:v>
      </x:c>
      <x:c r="B2" s="41" t="str">
        <x:v>홈</x:v>
      </x:c>
      <x:c r="C2" s="41" t="str">
        <x:v>/</x:v>
      </x:c>
      <x:c r="D2" s="41" t="str">
        <x:v>HomeView.vue</x:v>
      </x:c>
      <x:c r="E2" s="41" t="str">
        <x:v>공개</x:v>
      </x:c>
      <x:c r="F2" s="41" t="str">
        <x:v>Y</x:v>
      </x:c>
      <x:c r="G2" s="41" t="str">
        <x:v>진입</x:v>
      </x:c>
      <x:c r="H2" s="29" t="str">
        <x:v>서비스 소개, 분석 시작 버튼, 지원 국가 안내</x:v>
      </x:c>
      <x:c r="I2" s="29" t="str">
        <x:v>-</x:v>
      </x:c>
      <x:c r="J2" s="77" t="str">
        <x:v>HOME</x:v>
      </x:c>
    </x:row>
    <x:row r="3" ht="40" customHeight="1">
      <x:c r="A3" s="125" t="str">
        <x:v>AUTH-001</x:v>
      </x:c>
      <x:c r="B3" s="41" t="str">
        <x:v>로그인·회원가입</x:v>
      </x:c>
      <x:c r="C3" s="41" t="str">
        <x:v>/auth</x:v>
      </x:c>
      <x:c r="D3" s="41" t="str">
        <x:v>AuthView.vue</x:v>
      </x:c>
      <x:c r="E3" s="41" t="str">
        <x:v>공개</x:v>
      </x:c>
      <x:c r="F3" s="41" t="str">
        <x:v>N</x:v>
      </x:c>
      <x:c r="G3" s="41" t="str">
        <x:v>인증</x:v>
      </x:c>
      <x:c r="H3" s="29" t="str">
        <x:v>로그인/회원가입 탭 전환</x:v>
      </x:c>
      <x:c r="I3" s="29" t="str">
        <x:v>POST /api/auth/login
POST /api/auth/signup</x:v>
      </x:c>
      <x:c r="J3" s="77" t="str">
        <x:v>AUTH</x:v>
      </x:c>
    </x:row>
    <x:row r="4" ht="40" customHeight="1">
      <x:c r="A4" s="125" t="str">
        <x:v>ANA-001</x:v>
      </x:c>
      <x:c r="B4" s="41" t="str">
        <x:v>분석 1단계</x:v>
      </x:c>
      <x:c r="C4" s="41" t="str">
        <x:v>/analysis/step-1</x:v>
      </x:c>
      <x:c r="D4" s="41" t="str">
        <x:v>AnalysisStep1View.vue</x:v>
      </x:c>
      <x:c r="E4" s="41" t="str">
        <x:v>로그인 필요</x:v>
      </x:c>
      <x:c r="F4" s="41" t="str">
        <x:v>Y</x:v>
      </x:c>
      <x:c r="G4" s="41" t="str">
        <x:v>입력</x:v>
      </x:c>
      <x:c r="H4" s="29" t="str">
        <x:v>기본 인적·학력·경력 정보 입력</x:v>
      </x:c>
      <x:c r="I4" s="29" t="str">
        <x:v>GET/PUT /api/users/me/profile</x:v>
      </x:c>
      <x:c r="J4" s="77" t="str">
        <x:v>ANALYSIS</x:v>
      </x:c>
    </x:row>
    <x:row r="5" ht="40" customHeight="1">
      <x:c r="A5" s="125" t="str">
        <x:v>ANA-002</x:v>
      </x:c>
      <x:c r="B5" s="41" t="str">
        <x:v>분석 2단계</x:v>
      </x:c>
      <x:c r="C5" s="41" t="str">
        <x:v>/analysis/step-2</x:v>
      </x:c>
      <x:c r="D5" s="41" t="str">
        <x:v>AnalysisStep2View.vue</x:v>
      </x:c>
      <x:c r="E5" s="41" t="str">
        <x:v>로그인 필요</x:v>
      </x:c>
      <x:c r="F5" s="41" t="str">
        <x:v>N</x:v>
      </x:c>
      <x:c r="G5" s="41" t="str">
        <x:v>입력</x:v>
      </x:c>
      <x:c r="H5" s="29" t="str">
        <x:v>언어, 자금, 선호 국가, 경력기술서 입력</x:v>
      </x:c>
      <x:c r="I5" s="29" t="str">
        <x:v>POST /api/analyses</x:v>
      </x:c>
      <x:c r="J5" s="77" t="str">
        <x:v>ANALYSIS</x:v>
      </x:c>
    </x:row>
    <x:row r="6" ht="40" customHeight="1">
      <x:c r="A6" s="125" t="str">
        <x:v>ANA-003</x:v>
      </x:c>
      <x:c r="B6" s="41" t="str">
        <x:v>분석 로딩</x:v>
      </x:c>
      <x:c r="C6" s="41" t="str">
        <x:v>/analysis/loading</x:v>
      </x:c>
      <x:c r="D6" s="41" t="str">
        <x:v>AnalysisLoadingView.vue</x:v>
      </x:c>
      <x:c r="E6" s="41" t="str">
        <x:v>로그인 필요</x:v>
      </x:c>
      <x:c r="F6" s="41" t="str">
        <x:v>N</x:v>
      </x:c>
      <x:c r="G6" s="41" t="str">
        <x:v>처리</x:v>
      </x:c>
      <x:c r="H6" s="29" t="str">
        <x:v>분석 상태 폴링 및 결과 화면 이동</x:v>
      </x:c>
      <x:c r="I6" s="29" t="str">
        <x:v>GET /api/analyses/{id}</x:v>
      </x:c>
      <x:c r="J6" s="77" t="str">
        <x:v>ANALYSIS</x:v>
      </x:c>
    </x:row>
    <x:row r="7" ht="40" customHeight="1">
      <x:c r="A7" s="125" t="str">
        <x:v>RES-001</x:v>
      </x:c>
      <x:c r="B7" s="41" t="str">
        <x:v>추천 결과</x:v>
      </x:c>
      <x:c r="C7" s="41" t="str">
        <x:v>/results/{id}</x:v>
      </x:c>
      <x:c r="D7" s="41" t="str">
        <x:v>AnalysisResultView.vue</x:v>
      </x:c>
      <x:c r="E7" s="41" t="str">
        <x:v>로그인 필요</x:v>
      </x:c>
      <x:c r="F7" s="41" t="str">
        <x:v>N</x:v>
      </x:c>
      <x:c r="G7" s="41" t="str">
        <x:v>출력</x:v>
      </x:c>
      <x:c r="H7" s="29" t="str">
        <x:v>추천 국가·비자 순위, 점수, 근거, 체크리스트</x:v>
      </x:c>
      <x:c r="I7" s="29" t="str">
        <x:v>GET /api/analyses/{id}</x:v>
      </x:c>
      <x:c r="J7" s="77" t="str">
        <x:v>RESULT</x:v>
      </x:c>
    </x:row>
    <x:row r="8" ht="40" customHeight="1">
      <x:c r="A8" s="125" t="str">
        <x:v>CHAT-001</x:v>
      </x:c>
      <x:c r="B8" s="41" t="str">
        <x:v>AI 상담</x:v>
      </x:c>
      <x:c r="C8" s="41" t="str">
        <x:v>/chat</x:v>
      </x:c>
      <x:c r="D8" s="41" t="str">
        <x:v>AiChatView.vue</x:v>
      </x:c>
      <x:c r="E8" s="41" t="str">
        <x:v>로그인 필요</x:v>
      </x:c>
      <x:c r="F8" s="41" t="str">
        <x:v>Y</x:v>
      </x:c>
      <x:c r="G8" s="41" t="str">
        <x:v>상담</x:v>
      </x:c>
      <x:c r="H8" s="29" t="str">
        <x:v>RAG 답변, 공식 출처, 기준일 표시</x:v>
      </x:c>
      <x:c r="I8" s="29" t="str">
        <x:v>POST /api/chat</x:v>
      </x:c>
      <x:c r="J8" s="77" t="str">
        <x:v>CHAT</x:v>
      </x:c>
    </x:row>
    <x:row r="9" ht="40" customHeight="1">
      <x:c r="A9" s="126" t="str">
        <x:v>MY-001</x:v>
      </x:c>
      <x:c r="B9" s="117" t="str">
        <x:v>내 결과</x:v>
      </x:c>
      <x:c r="C9" s="117" t="str">
        <x:v>/my-results</x:v>
      </x:c>
      <x:c r="D9" s="117" t="str">
        <x:v>MyResultsView.vue</x:v>
      </x:c>
      <x:c r="E9" s="117" t="str">
        <x:v>로그인 필요</x:v>
      </x:c>
      <x:c r="F9" s="117" t="str">
        <x:v>Y</x:v>
      </x:c>
      <x:c r="G9" s="117" t="str">
        <x:v>이력</x:v>
      </x:c>
      <x:c r="H9" s="79" t="str">
        <x:v>분석 이력 목록과 결과 상세 이동</x:v>
      </x:c>
      <x:c r="I9" s="79" t="str">
        <x:v>GET /api/analyses</x:v>
      </x:c>
      <x:c r="J9" s="80" t="str">
        <x:v>MY</x:v>
      </x:c>
    </x:row>
  </x:sheetData>
  <x:conditionalFormatting sqref="E2:E100">
    <x:cfRule type="expression" dxfId="8" priority="1">
      <x:formula>E2="공개"</x:formula>
    </x:cfRule>
    <x:cfRule type="expression" dxfId="9" priority="2">
      <x:formula>E2="로그인 필요"</x:formula>
    </x:cfRule>
  </x:conditionalFormatting>
  <x:dataValidations count="2">
    <x:dataValidation type="list" sqref="E2:E100">
      <x:formula1>"공개,로그인 필요,관리자"</x:formula1>
    </x:dataValidation>
    <x:dataValidation type="list" sqref="F2:F100">
      <x:formula1>"Y,N,조건부"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107ec2afd34201"/>
  </x:tableParts>
</x:worksheet>
</file>